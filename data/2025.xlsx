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\Luas Lahan Kopi Arabika\"/>
    </mc:Choice>
  </mc:AlternateContent>
  <bookViews>
    <workbookView xWindow="0" yWindow="0" windowWidth="20490" windowHeight="7350"/>
  </bookViews>
  <sheets>
    <sheet name="ARABIKA (3)" sheetId="1" r:id="rId1"/>
  </sheets>
  <definedNames>
    <definedName name="_xlnm.Print_Area" localSheetId="0">'ARABIKA (3)'!$A$1:$M$253</definedName>
    <definedName name="_xlnm.Print_Titles" localSheetId="0">'ARABIKA (3)'!$4:$5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0" i="1" l="1"/>
  <c r="L235" i="1" l="1"/>
  <c r="H235" i="1"/>
  <c r="H236" i="1" s="1"/>
  <c r="G235" i="1"/>
  <c r="F235" i="1"/>
  <c r="F236" i="1" s="1"/>
  <c r="K234" i="1"/>
  <c r="J234" i="1"/>
  <c r="K233" i="1"/>
  <c r="J233" i="1"/>
  <c r="J232" i="1"/>
  <c r="J231" i="1"/>
  <c r="J230" i="1"/>
  <c r="J229" i="1"/>
  <c r="J228" i="1"/>
  <c r="K227" i="1"/>
  <c r="J227" i="1"/>
  <c r="J226" i="1"/>
  <c r="J225" i="1"/>
  <c r="J224" i="1"/>
  <c r="K223" i="1"/>
  <c r="J223" i="1"/>
  <c r="K222" i="1"/>
  <c r="J222" i="1"/>
  <c r="J221" i="1"/>
  <c r="J220" i="1"/>
  <c r="J219" i="1"/>
  <c r="K218" i="1"/>
  <c r="J218" i="1"/>
  <c r="K217" i="1"/>
  <c r="J217" i="1"/>
  <c r="K216" i="1"/>
  <c r="J216" i="1"/>
  <c r="K215" i="1"/>
  <c r="K235" i="1" s="1"/>
  <c r="J215" i="1"/>
  <c r="J235" i="1" s="1"/>
  <c r="L214" i="1"/>
  <c r="K214" i="1"/>
  <c r="H214" i="1"/>
  <c r="G214" i="1"/>
  <c r="F214" i="1"/>
  <c r="J213" i="1"/>
  <c r="J212" i="1"/>
  <c r="J211" i="1"/>
  <c r="J210" i="1"/>
  <c r="J209" i="1"/>
  <c r="J208" i="1"/>
  <c r="J207" i="1"/>
  <c r="J206" i="1"/>
  <c r="N205" i="1"/>
  <c r="J205" i="1"/>
  <c r="J204" i="1"/>
  <c r="J214" i="1" s="1"/>
  <c r="L203" i="1"/>
  <c r="H203" i="1"/>
  <c r="G203" i="1"/>
  <c r="F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J203" i="1" s="1"/>
  <c r="K168" i="1"/>
  <c r="K203" i="1" s="1"/>
  <c r="J168" i="1"/>
  <c r="L167" i="1"/>
  <c r="L236" i="1" s="1"/>
  <c r="H167" i="1"/>
  <c r="G167" i="1"/>
  <c r="G236" i="1" s="1"/>
  <c r="F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K167" i="1" s="1"/>
  <c r="J155" i="1"/>
  <c r="J167" i="1" s="1"/>
  <c r="N168" i="1" s="1"/>
  <c r="N169" i="1" s="1"/>
  <c r="L154" i="1"/>
  <c r="J154" i="1"/>
  <c r="H154" i="1"/>
  <c r="G154" i="1"/>
  <c r="F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L113" i="1"/>
  <c r="G113" i="1"/>
  <c r="F113" i="1"/>
  <c r="K112" i="1"/>
  <c r="J112" i="1"/>
  <c r="K111" i="1"/>
  <c r="J111" i="1"/>
  <c r="K110" i="1"/>
  <c r="J110" i="1"/>
  <c r="K109" i="1"/>
  <c r="J109" i="1"/>
  <c r="K108" i="1"/>
  <c r="K113" i="1" s="1"/>
  <c r="J108" i="1"/>
  <c r="J113" i="1" s="1"/>
  <c r="L107" i="1"/>
  <c r="K107" i="1"/>
  <c r="H107" i="1"/>
  <c r="G107" i="1"/>
  <c r="F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107" i="1" s="1"/>
  <c r="L80" i="1"/>
  <c r="K80" i="1"/>
  <c r="H80" i="1"/>
  <c r="G80" i="1"/>
  <c r="F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J80" i="1" s="1"/>
  <c r="L64" i="1"/>
  <c r="K64" i="1"/>
  <c r="H64" i="1"/>
  <c r="G64" i="1"/>
  <c r="F64" i="1"/>
  <c r="N63" i="1"/>
  <c r="K63" i="1"/>
  <c r="J63" i="1"/>
  <c r="I63" i="1"/>
  <c r="N62" i="1"/>
  <c r="K62" i="1"/>
  <c r="J62" i="1"/>
  <c r="I62" i="1"/>
  <c r="N61" i="1"/>
  <c r="K61" i="1"/>
  <c r="J61" i="1"/>
  <c r="I61" i="1"/>
  <c r="N60" i="1"/>
  <c r="K60" i="1"/>
  <c r="J60" i="1"/>
  <c r="I60" i="1"/>
  <c r="N59" i="1"/>
  <c r="K59" i="1"/>
  <c r="J59" i="1"/>
  <c r="I59" i="1"/>
  <c r="N58" i="1"/>
  <c r="K58" i="1"/>
  <c r="J58" i="1"/>
  <c r="I58" i="1"/>
  <c r="N57" i="1"/>
  <c r="K57" i="1"/>
  <c r="J57" i="1"/>
  <c r="I57" i="1"/>
  <c r="N56" i="1"/>
  <c r="K56" i="1"/>
  <c r="J56" i="1"/>
  <c r="I56" i="1"/>
  <c r="N55" i="1"/>
  <c r="K55" i="1"/>
  <c r="J55" i="1"/>
  <c r="I55" i="1"/>
  <c r="N54" i="1"/>
  <c r="K54" i="1"/>
  <c r="J54" i="1"/>
  <c r="I54" i="1"/>
  <c r="N53" i="1"/>
  <c r="K53" i="1"/>
  <c r="J53" i="1"/>
  <c r="I53" i="1"/>
  <c r="N52" i="1"/>
  <c r="K52" i="1"/>
  <c r="J52" i="1"/>
  <c r="I52" i="1"/>
  <c r="N51" i="1"/>
  <c r="K51" i="1"/>
  <c r="J51" i="1"/>
  <c r="I51" i="1"/>
  <c r="N50" i="1"/>
  <c r="K50" i="1"/>
  <c r="J50" i="1"/>
  <c r="I50" i="1"/>
  <c r="N49" i="1"/>
  <c r="K49" i="1"/>
  <c r="J49" i="1"/>
  <c r="I49" i="1"/>
  <c r="N48" i="1"/>
  <c r="K48" i="1"/>
  <c r="J48" i="1"/>
  <c r="I48" i="1"/>
  <c r="N47" i="1"/>
  <c r="K47" i="1"/>
  <c r="J47" i="1"/>
  <c r="I47" i="1"/>
  <c r="N46" i="1"/>
  <c r="K46" i="1"/>
  <c r="J46" i="1"/>
  <c r="I46" i="1"/>
  <c r="N45" i="1"/>
  <c r="K45" i="1"/>
  <c r="J45" i="1"/>
  <c r="I45" i="1"/>
  <c r="N44" i="1"/>
  <c r="K44" i="1"/>
  <c r="J44" i="1"/>
  <c r="I44" i="1"/>
  <c r="N43" i="1"/>
  <c r="K43" i="1"/>
  <c r="J43" i="1"/>
  <c r="I43" i="1"/>
  <c r="N42" i="1"/>
  <c r="K42" i="1"/>
  <c r="J42" i="1"/>
  <c r="I42" i="1"/>
  <c r="N41" i="1"/>
  <c r="K41" i="1"/>
  <c r="J41" i="1"/>
  <c r="I41" i="1"/>
  <c r="N40" i="1"/>
  <c r="K40" i="1"/>
  <c r="J40" i="1"/>
  <c r="I40" i="1"/>
  <c r="N39" i="1"/>
  <c r="K39" i="1"/>
  <c r="J39" i="1"/>
  <c r="I39" i="1"/>
  <c r="N38" i="1"/>
  <c r="K38" i="1"/>
  <c r="J38" i="1"/>
  <c r="I38" i="1"/>
  <c r="N37" i="1"/>
  <c r="K37" i="1"/>
  <c r="J37" i="1"/>
  <c r="J64" i="1" s="1"/>
  <c r="I37" i="1"/>
  <c r="L36" i="1"/>
  <c r="H36" i="1"/>
  <c r="G36" i="1"/>
  <c r="F36" i="1"/>
  <c r="J35" i="1"/>
  <c r="J34" i="1"/>
  <c r="J33" i="1"/>
  <c r="J32" i="1"/>
  <c r="J31" i="1"/>
  <c r="J30" i="1"/>
  <c r="K29" i="1"/>
  <c r="J29" i="1"/>
  <c r="K28" i="1"/>
  <c r="J28" i="1"/>
  <c r="J27" i="1"/>
  <c r="K26" i="1"/>
  <c r="J25" i="1"/>
  <c r="J24" i="1"/>
  <c r="J23" i="1"/>
  <c r="J22" i="1"/>
  <c r="J21" i="1"/>
  <c r="K20" i="1"/>
  <c r="J20" i="1"/>
  <c r="K19" i="1"/>
  <c r="J19" i="1"/>
  <c r="J18" i="1"/>
  <c r="J17" i="1"/>
  <c r="J16" i="1"/>
  <c r="J15" i="1"/>
  <c r="J14" i="1"/>
  <c r="J13" i="1"/>
  <c r="K12" i="1"/>
  <c r="J12" i="1"/>
  <c r="K11" i="1"/>
  <c r="J11" i="1"/>
  <c r="K10" i="1"/>
  <c r="J10" i="1"/>
  <c r="J9" i="1"/>
  <c r="K8" i="1"/>
  <c r="K36" i="1" s="1"/>
  <c r="J8" i="1"/>
  <c r="J7" i="1"/>
  <c r="J6" i="1"/>
  <c r="J36" i="1" s="1"/>
  <c r="J236" i="1" l="1"/>
  <c r="N242" i="1" s="1"/>
  <c r="N244" i="1" s="1"/>
  <c r="K154" i="1"/>
  <c r="K236" i="1" s="1"/>
  <c r="N236" i="1" s="1"/>
</calcChain>
</file>

<file path=xl/sharedStrings.xml><?xml version="1.0" encoding="utf-8"?>
<sst xmlns="http://schemas.openxmlformats.org/spreadsheetml/2006/main" count="502" uniqueCount="264">
  <si>
    <t xml:space="preserve">LAPORAN LUAS LAHAN PERKEBUNAN </t>
  </si>
  <si>
    <t>No</t>
  </si>
  <si>
    <t xml:space="preserve">Kecamatan </t>
  </si>
  <si>
    <t>Desa</t>
  </si>
  <si>
    <t>Komoditi</t>
  </si>
  <si>
    <t>TBM (Ha)</t>
  </si>
  <si>
    <t>TM (Ha)</t>
  </si>
  <si>
    <t>TTR (Ha)</t>
  </si>
  <si>
    <t>Penambahan15 %</t>
  </si>
  <si>
    <t>Total Luas Lahan (Ha)</t>
  </si>
  <si>
    <t>Produksi (Kg)</t>
  </si>
  <si>
    <t>Jumlah Petani (KK)</t>
  </si>
  <si>
    <t>Keterangan</t>
  </si>
  <si>
    <t>I.</t>
  </si>
  <si>
    <t>Timang Gajah</t>
  </si>
  <si>
    <t>Kenine</t>
  </si>
  <si>
    <t>Kopi Arabika</t>
  </si>
  <si>
    <t>Fajar Harapan</t>
  </si>
  <si>
    <t>Damaran Baru</t>
  </si>
  <si>
    <t>Pantan Pediangan</t>
  </si>
  <si>
    <t>Bandar Lampahan</t>
  </si>
  <si>
    <t>Rembune</t>
  </si>
  <si>
    <t>Mude Benara</t>
  </si>
  <si>
    <t>Bumi Ayu</t>
  </si>
  <si>
    <t>Karang Jadi</t>
  </si>
  <si>
    <t>Kampung Baru 76</t>
  </si>
  <si>
    <t>Lampahan Timur</t>
  </si>
  <si>
    <t>Lampahan</t>
  </si>
  <si>
    <t>Bukit Mulie</t>
  </si>
  <si>
    <t>Suka Damai</t>
  </si>
  <si>
    <t>Sumber Jaya</t>
  </si>
  <si>
    <t>Lampahan Barat</t>
  </si>
  <si>
    <t>Mekar Ayu</t>
  </si>
  <si>
    <t>Datu Beru</t>
  </si>
  <si>
    <t>Timang Rasa</t>
  </si>
  <si>
    <t>Kulem Parakanis</t>
  </si>
  <si>
    <t>Linung Bale</t>
  </si>
  <si>
    <t>Gunung Tunyang</t>
  </si>
  <si>
    <t>Bukit Tunyang</t>
  </si>
  <si>
    <t>Gegur Sepakat</t>
  </si>
  <si>
    <t>Tunyang</t>
  </si>
  <si>
    <t>Simpang Layang</t>
  </si>
  <si>
    <t>Blang Rongka</t>
  </si>
  <si>
    <t>Setie</t>
  </si>
  <si>
    <t>Cekal Baru</t>
  </si>
  <si>
    <t>Pantan Kemuning</t>
  </si>
  <si>
    <t>Jumlah</t>
  </si>
  <si>
    <t>II.</t>
  </si>
  <si>
    <t>Permata</t>
  </si>
  <si>
    <t>Buntul Peteri</t>
  </si>
  <si>
    <t>Bale Musara</t>
  </si>
  <si>
    <t>Jungke</t>
  </si>
  <si>
    <t>Kepies</t>
  </si>
  <si>
    <t>Seni Antara</t>
  </si>
  <si>
    <t>Pantan Tengah Jaya</t>
  </si>
  <si>
    <t>Ayu Ara</t>
  </si>
  <si>
    <t>Rikit Musara</t>
  </si>
  <si>
    <t>Suku Sara Tangke</t>
  </si>
  <si>
    <t>Ramung Jaya</t>
  </si>
  <si>
    <t>Timur Jaya</t>
  </si>
  <si>
    <t>Ceding Ayu</t>
  </si>
  <si>
    <t>Darul Aman</t>
  </si>
  <si>
    <t>Burni Pase</t>
  </si>
  <si>
    <t>Wih Tenang Uken</t>
  </si>
  <si>
    <t>Bintang Permata</t>
  </si>
  <si>
    <t>Uning Sejuk</t>
  </si>
  <si>
    <t>Wih Tenang Toa/Bakongan Baru</t>
  </si>
  <si>
    <t>Jelobok</t>
  </si>
  <si>
    <t>Penosan Jaya</t>
  </si>
  <si>
    <t>Bener Pepanyi</t>
  </si>
  <si>
    <t>Bintang Bener</t>
  </si>
  <si>
    <t>Pemango</t>
  </si>
  <si>
    <t>Gelampang Wih Tenang Uken</t>
  </si>
  <si>
    <t>Bale Purnama</t>
  </si>
  <si>
    <t>Temas Mumanang</t>
  </si>
  <si>
    <t>Tawar Bengi</t>
  </si>
  <si>
    <t>III.</t>
  </si>
  <si>
    <t>Mesidah</t>
  </si>
  <si>
    <t>Amor</t>
  </si>
  <si>
    <t>Buntul Gayo</t>
  </si>
  <si>
    <t>Weh Resap</t>
  </si>
  <si>
    <t>Pantan Kuli</t>
  </si>
  <si>
    <t>Cemparam Lama</t>
  </si>
  <si>
    <t>Cemparam Pakat Jeroh</t>
  </si>
  <si>
    <t>Cemparam Jaya</t>
  </si>
  <si>
    <t>Jamur Atu</t>
  </si>
  <si>
    <t>Simpang Renggali</t>
  </si>
  <si>
    <t>Gunung Sayang</t>
  </si>
  <si>
    <t>Uwer Tingkem</t>
  </si>
  <si>
    <t>Perumpaken Benjadi</t>
  </si>
  <si>
    <t>Simpur</t>
  </si>
  <si>
    <t>Hakim Peteri Pintu</t>
  </si>
  <si>
    <t>Sosial</t>
  </si>
  <si>
    <t>IV.</t>
  </si>
  <si>
    <t>Wih Pesam</t>
  </si>
  <si>
    <t>Blang Benara</t>
  </si>
  <si>
    <t>-</t>
  </si>
  <si>
    <t>Blang Paku</t>
  </si>
  <si>
    <t>Blang Kucak</t>
  </si>
  <si>
    <t>Burni Telong</t>
  </si>
  <si>
    <t>Cinta Damai</t>
  </si>
  <si>
    <t>Jamur Ujung</t>
  </si>
  <si>
    <t>Kebun Baru</t>
  </si>
  <si>
    <t>Lut Kucak</t>
  </si>
  <si>
    <t>Pante Raya</t>
  </si>
  <si>
    <t>Bukit Pepanyi</t>
  </si>
  <si>
    <t>Simpang Teritit</t>
  </si>
  <si>
    <t>Suka Jadi</t>
  </si>
  <si>
    <t>Suka Makmur Timur</t>
  </si>
  <si>
    <t>Suka Makmur</t>
  </si>
  <si>
    <t>Suka Ramai Atas</t>
  </si>
  <si>
    <t>Suka Ramai Bawah</t>
  </si>
  <si>
    <t>Syura Jadi</t>
  </si>
  <si>
    <t>Wono Sobo</t>
  </si>
  <si>
    <t>Simpang Antara</t>
  </si>
  <si>
    <t>Merie Satu</t>
  </si>
  <si>
    <t>Jamur Uluh</t>
  </si>
  <si>
    <t>Simpang Balik</t>
  </si>
  <si>
    <t>Bener Mulie</t>
  </si>
  <si>
    <t>Bener Ayu</t>
  </si>
  <si>
    <t>Gegerung</t>
  </si>
  <si>
    <t>V.</t>
  </si>
  <si>
    <t>Syiah Utama</t>
  </si>
  <si>
    <t>Tembolon</t>
  </si>
  <si>
    <t>Rusip</t>
  </si>
  <si>
    <t xml:space="preserve">wihni Durin </t>
  </si>
  <si>
    <t xml:space="preserve">Blang Panu </t>
  </si>
  <si>
    <t xml:space="preserve">Rata Mulie </t>
  </si>
  <si>
    <t>VI.</t>
  </si>
  <si>
    <t>Bukit</t>
  </si>
  <si>
    <t>Bale Redelong</t>
  </si>
  <si>
    <t>Ujung Gele</t>
  </si>
  <si>
    <t>Bale Atu</t>
  </si>
  <si>
    <t>Babussalam</t>
  </si>
  <si>
    <t>Hakim Tungul Naru</t>
  </si>
  <si>
    <t>Blang Panas</t>
  </si>
  <si>
    <t>Blang Tampu</t>
  </si>
  <si>
    <t>Serule Kayu</t>
  </si>
  <si>
    <t>Kute Tanyung</t>
  </si>
  <si>
    <t>Delung Tue</t>
  </si>
  <si>
    <t>Delung Asli</t>
  </si>
  <si>
    <t>Pilar Jaya</t>
  </si>
  <si>
    <t>Uning Bersah</t>
  </si>
  <si>
    <t>Uning Teritit</t>
  </si>
  <si>
    <t>Bathin Wih Pongas</t>
  </si>
  <si>
    <t>Tingkem Asli</t>
  </si>
  <si>
    <t>Tingkem Benyer</t>
  </si>
  <si>
    <t>Tingkem Bersatu</t>
  </si>
  <si>
    <t>Blang Sentang</t>
  </si>
  <si>
    <t>Reje Guru</t>
  </si>
  <si>
    <t>Mutiara Baru</t>
  </si>
  <si>
    <t>Bukit Bersatu</t>
  </si>
  <si>
    <t xml:space="preserve">Blang Ara </t>
  </si>
  <si>
    <t>Waq Pondok Sayur</t>
  </si>
  <si>
    <t>Panji Mulia I</t>
  </si>
  <si>
    <t>Panji Mulia II</t>
  </si>
  <si>
    <t xml:space="preserve">Rembele </t>
  </si>
  <si>
    <t>Karang Rejo</t>
  </si>
  <si>
    <t>Kute Kering</t>
  </si>
  <si>
    <t>Kute Lintang</t>
  </si>
  <si>
    <t xml:space="preserve">Isaq Busur </t>
  </si>
  <si>
    <t>Meluem</t>
  </si>
  <si>
    <t>Bujang</t>
  </si>
  <si>
    <t>Godang</t>
  </si>
  <si>
    <t>Uring</t>
  </si>
  <si>
    <t>Kenawat Redelong</t>
  </si>
  <si>
    <t>Paya Gajah</t>
  </si>
  <si>
    <t>Pasar Simpang Tiga</t>
  </si>
  <si>
    <t>Sedie Jadi</t>
  </si>
  <si>
    <t>Mupakat Jadi</t>
  </si>
  <si>
    <t>VII.</t>
  </si>
  <si>
    <t>Bener Kelipah</t>
  </si>
  <si>
    <t>Nosar Baru</t>
  </si>
  <si>
    <t>Nosar Tawar Jaya</t>
  </si>
  <si>
    <t>Bandar Jaya</t>
  </si>
  <si>
    <t>Lot Bener Kelpah</t>
  </si>
  <si>
    <t>Bener Kelipah Utara</t>
  </si>
  <si>
    <t>Bener Kelipah Selatan</t>
  </si>
  <si>
    <t>Gunung Musara</t>
  </si>
  <si>
    <t>Jongok Meluem</t>
  </si>
  <si>
    <t>Kala Tenang</t>
  </si>
  <si>
    <t>Bintang Musara</t>
  </si>
  <si>
    <t>Suku Bener</t>
  </si>
  <si>
    <t>Bener Lukup</t>
  </si>
  <si>
    <t>VIII.</t>
  </si>
  <si>
    <t>Bandar</t>
  </si>
  <si>
    <t>Pondok Baru</t>
  </si>
  <si>
    <t>Janarata</t>
  </si>
  <si>
    <t>Mutiara</t>
  </si>
  <si>
    <t>Puja Mulia</t>
  </si>
  <si>
    <t>Purwosari</t>
  </si>
  <si>
    <t>Tawar Sedenge</t>
  </si>
  <si>
    <t>Simpang Utama</t>
  </si>
  <si>
    <t>Makmur Sentosa</t>
  </si>
  <si>
    <t>Pondok Gajah</t>
  </si>
  <si>
    <t>Bathin Baru</t>
  </si>
  <si>
    <t>Suku Wih Ilang</t>
  </si>
  <si>
    <t>Gele Semayang</t>
  </si>
  <si>
    <t>Bukit Wih Ilang</t>
  </si>
  <si>
    <t>Bahgie Bertona</t>
  </si>
  <si>
    <t>Pondok Ulung</t>
  </si>
  <si>
    <t>Kala Nempan</t>
  </si>
  <si>
    <t>Pakat Jeroh</t>
  </si>
  <si>
    <t>Selisih Mara</t>
  </si>
  <si>
    <t>Selamat Rejo</t>
  </si>
  <si>
    <t>Hakim Wih Ilang</t>
  </si>
  <si>
    <t>Lewa Jadi</t>
  </si>
  <si>
    <t>Gunung Antara</t>
  </si>
  <si>
    <t>Remang Ketike Jaya</t>
  </si>
  <si>
    <t>Tanjung Pura</t>
  </si>
  <si>
    <t>Beranun Teleden</t>
  </si>
  <si>
    <t>Keramat Jaya</t>
  </si>
  <si>
    <t>Jadi Sepakat</t>
  </si>
  <si>
    <t>Sidodadi</t>
  </si>
  <si>
    <t>Petukel Blang Jorong</t>
  </si>
  <si>
    <t>Paya Baning</t>
  </si>
  <si>
    <t>Wonosari</t>
  </si>
  <si>
    <t>Tansaran Bidin</t>
  </si>
  <si>
    <t>Blang Pulo</t>
  </si>
  <si>
    <t>Sinar Jaya Paya Ringkel</t>
  </si>
  <si>
    <t>Muyang Kute Mangku</t>
  </si>
  <si>
    <t>IX.</t>
  </si>
  <si>
    <t>Gajah Putih</t>
  </si>
  <si>
    <t>Simpang Rahmat</t>
  </si>
  <si>
    <t>Reronga</t>
  </si>
  <si>
    <t>Gayo Setie</t>
  </si>
  <si>
    <t xml:space="preserve">Umah Besi </t>
  </si>
  <si>
    <t>Meriah Jaya</t>
  </si>
  <si>
    <t xml:space="preserve">Alam Jaya </t>
  </si>
  <si>
    <t>Pante Karya</t>
  </si>
  <si>
    <t>Pantan Lues</t>
  </si>
  <si>
    <t>X.</t>
  </si>
  <si>
    <t>Pintu Rime Gayo</t>
  </si>
  <si>
    <t>Bintang Berangun</t>
  </si>
  <si>
    <t>Pulo Intan</t>
  </si>
  <si>
    <t>Singah Mulo</t>
  </si>
  <si>
    <t>Alur Cincin</t>
  </si>
  <si>
    <t>Musara 58</t>
  </si>
  <si>
    <t>Uning Mas</t>
  </si>
  <si>
    <t>Blang Rakal</t>
  </si>
  <si>
    <t>Bener Meriah</t>
  </si>
  <si>
    <t>Wih Porak</t>
  </si>
  <si>
    <t>Alur Gading</t>
  </si>
  <si>
    <t>Ulu Naron</t>
  </si>
  <si>
    <t>Perdamaian</t>
  </si>
  <si>
    <t>Rime Raya</t>
  </si>
  <si>
    <t>Taman Firdaus</t>
  </si>
  <si>
    <t>Pantan Sinaku</t>
  </si>
  <si>
    <t>Rata Ara</t>
  </si>
  <si>
    <t>Simpang Lancang</t>
  </si>
  <si>
    <t>Pancar Jelobok</t>
  </si>
  <si>
    <t>Blang Ara</t>
  </si>
  <si>
    <t>Gemasih</t>
  </si>
  <si>
    <t>TOTAL</t>
  </si>
  <si>
    <t>Sumber Data</t>
  </si>
  <si>
    <t xml:space="preserve">:  BPP Masing-masing Kecamatan berkoordinasi dengan Reje Kampung </t>
  </si>
  <si>
    <t>Redelong, 3 Juli 2025</t>
  </si>
  <si>
    <t>Kepala Dinas Pertanian dan Pangan</t>
  </si>
  <si>
    <t>Kabupaten Bener Meriah</t>
  </si>
  <si>
    <t>Uswatun Hasanah, SP, MP</t>
  </si>
  <si>
    <t>Pembina / IV.a</t>
  </si>
  <si>
    <t>Nip : 19770528 200604 2 001</t>
  </si>
  <si>
    <t>SP Nomor : Peg.875/831/2025</t>
  </si>
  <si>
    <t>Tanggal 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</si>
</sst>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,##0.00_);_(* \(#,##0.00\);_(* &quot;-&quot;??_);_(@_)"/>
    <numFmt numFmtId="166" formatCode="_-* #,##0.000_-;\-* #,##0.000_-;_-* &quot;-&quot;_-;_-@_-"/>
    <numFmt numFmtId="167" formatCode="_(* #,##0.0_);_(* \(#,##0.0\);_(* &quot;-&quot;??_);_(@_)"/>
    <numFmt numFmtId="168" formatCode="_(* #,##0_);_(* \(#,##0\);_(* &quot;-&quot;??_);_(@_)"/>
    <numFmt numFmtId="169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1"/>
      <color theme="1"/>
      <name val="Bookman Old Style"/>
      <family val="1"/>
    </font>
    <font>
      <b/>
      <i/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sz val="11"/>
      <name val="Bookman Old Style"/>
      <family val="1"/>
    </font>
    <font>
      <b/>
      <sz val="11"/>
      <color theme="1"/>
      <name val="Bookman Old Style"/>
      <family val="1"/>
    </font>
    <font>
      <sz val="10"/>
      <color rgb="FF000000"/>
      <name val="Times New Roman"/>
      <family val="1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2"/>
      <color theme="1"/>
      <name val="Bookman Old Style"/>
      <family val="1"/>
    </font>
    <font>
      <b/>
      <u/>
      <sz val="12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1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/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vertical="center" wrapText="1"/>
    </xf>
    <xf numFmtId="0" fontId="6" fillId="2" borderId="9" xfId="0" applyFont="1" applyFill="1" applyBorder="1" applyAlignment="1">
      <alignment horizontal="center"/>
    </xf>
    <xf numFmtId="164" fontId="3" fillId="0" borderId="9" xfId="2" applyNumberFormat="1" applyFont="1" applyBorder="1" applyAlignment="1">
      <alignment horizontal="center" vertical="center" wrapText="1"/>
    </xf>
    <xf numFmtId="41" fontId="3" fillId="0" borderId="9" xfId="2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41" fontId="3" fillId="2" borderId="9" xfId="2" applyFont="1" applyFill="1" applyBorder="1" applyAlignment="1">
      <alignment horizontal="center" vertical="center" wrapText="1"/>
    </xf>
    <xf numFmtId="164" fontId="3" fillId="2" borderId="9" xfId="2" applyNumberFormat="1" applyFont="1" applyFill="1" applyBorder="1" applyAlignment="1">
      <alignment horizontal="center" vertical="center"/>
    </xf>
    <xf numFmtId="164" fontId="3" fillId="0" borderId="0" xfId="0" applyNumberFormat="1" applyFont="1"/>
    <xf numFmtId="0" fontId="7" fillId="0" borderId="9" xfId="0" applyFont="1" applyBorder="1" applyAlignment="1">
      <alignment horizontal="center" vertical="center"/>
    </xf>
    <xf numFmtId="164" fontId="7" fillId="0" borderId="9" xfId="2" applyNumberFormat="1" applyFont="1" applyBorder="1" applyAlignment="1">
      <alignment horizontal="center" vertical="center"/>
    </xf>
    <xf numFmtId="164" fontId="7" fillId="3" borderId="9" xfId="2" applyNumberFormat="1" applyFont="1" applyFill="1" applyBorder="1" applyAlignment="1">
      <alignment horizontal="center" vertical="center"/>
    </xf>
    <xf numFmtId="49" fontId="3" fillId="0" borderId="10" xfId="0" applyNumberFormat="1" applyFont="1" applyBorder="1"/>
    <xf numFmtId="165" fontId="3" fillId="0" borderId="0" xfId="1" applyFont="1"/>
    <xf numFmtId="165" fontId="3" fillId="0" borderId="0" xfId="0" applyNumberFormat="1" applyFont="1"/>
    <xf numFmtId="0" fontId="3" fillId="0" borderId="11" xfId="0" applyFont="1" applyBorder="1" applyAlignment="1">
      <alignment horizontal="center"/>
    </xf>
    <xf numFmtId="0" fontId="3" fillId="2" borderId="9" xfId="0" applyFont="1" applyFill="1" applyBorder="1"/>
    <xf numFmtId="0" fontId="9" fillId="0" borderId="8" xfId="3" applyFont="1" applyFill="1" applyBorder="1" applyAlignment="1">
      <alignment vertical="center"/>
    </xf>
    <xf numFmtId="164" fontId="3" fillId="0" borderId="9" xfId="2" applyNumberFormat="1" applyFont="1" applyBorder="1" applyAlignment="1">
      <alignment vertical="center"/>
    </xf>
    <xf numFmtId="164" fontId="3" fillId="0" borderId="9" xfId="2" applyNumberFormat="1" applyFont="1" applyBorder="1"/>
    <xf numFmtId="164" fontId="3" fillId="0" borderId="12" xfId="2" applyNumberFormat="1" applyFont="1" applyBorder="1" applyAlignment="1">
      <alignment vertical="center"/>
    </xf>
    <xf numFmtId="41" fontId="9" fillId="0" borderId="9" xfId="2" applyFont="1" applyFill="1" applyBorder="1" applyAlignment="1">
      <alignment horizontal="center" vertical="center" shrinkToFit="1"/>
    </xf>
    <xf numFmtId="0" fontId="3" fillId="0" borderId="13" xfId="0" applyFont="1" applyBorder="1"/>
    <xf numFmtId="0" fontId="3" fillId="0" borderId="9" xfId="0" applyFont="1" applyBorder="1"/>
    <xf numFmtId="164" fontId="9" fillId="0" borderId="9" xfId="2" applyNumberFormat="1" applyFont="1" applyFill="1" applyBorder="1" applyAlignment="1">
      <alignment vertical="center"/>
    </xf>
    <xf numFmtId="41" fontId="9" fillId="0" borderId="9" xfId="2" applyFont="1" applyFill="1" applyBorder="1" applyAlignment="1">
      <alignment horizontal="center" vertical="center"/>
    </xf>
    <xf numFmtId="0" fontId="9" fillId="0" borderId="8" xfId="3" applyFont="1" applyFill="1" applyBorder="1" applyAlignment="1">
      <alignment vertical="center" wrapText="1"/>
    </xf>
    <xf numFmtId="41" fontId="3" fillId="0" borderId="9" xfId="2" applyFont="1" applyBorder="1" applyAlignment="1">
      <alignment horizontal="center" vertical="center"/>
    </xf>
    <xf numFmtId="0" fontId="3" fillId="0" borderId="8" xfId="3" applyFont="1" applyBorder="1" applyAlignment="1">
      <alignment horizontal="left" vertical="center"/>
    </xf>
    <xf numFmtId="164" fontId="3" fillId="0" borderId="9" xfId="2" applyNumberFormat="1" applyFont="1" applyBorder="1" applyAlignment="1">
      <alignment horizontal="right" vertical="center"/>
    </xf>
    <xf numFmtId="0" fontId="3" fillId="0" borderId="8" xfId="3" applyFont="1" applyBorder="1" applyAlignment="1">
      <alignment vertical="center"/>
    </xf>
    <xf numFmtId="0" fontId="9" fillId="0" borderId="8" xfId="3" applyFont="1" applyFill="1" applyBorder="1" applyAlignment="1">
      <alignment horizontal="left" vertical="center"/>
    </xf>
    <xf numFmtId="164" fontId="9" fillId="0" borderId="9" xfId="2" applyNumberFormat="1" applyFont="1" applyFill="1" applyBorder="1" applyAlignment="1">
      <alignment horizontal="right" vertical="center"/>
    </xf>
    <xf numFmtId="43" fontId="3" fillId="0" borderId="13" xfId="0" applyNumberFormat="1" applyFont="1" applyBorder="1"/>
    <xf numFmtId="0" fontId="9" fillId="0" borderId="8" xfId="3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64" fontId="9" fillId="0" borderId="9" xfId="2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9" fillId="0" borderId="8" xfId="0" applyFont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164" fontId="9" fillId="0" borderId="8" xfId="2" applyNumberFormat="1" applyFont="1" applyBorder="1" applyAlignment="1">
      <alignment horizontal="center" vertical="center" wrapText="1"/>
    </xf>
    <xf numFmtId="164" fontId="9" fillId="4" borderId="8" xfId="2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164" fontId="3" fillId="0" borderId="12" xfId="2" applyNumberFormat="1" applyFont="1" applyBorder="1" applyAlignment="1">
      <alignment horizontal="center" vertical="center" wrapText="1"/>
    </xf>
    <xf numFmtId="166" fontId="3" fillId="0" borderId="12" xfId="2" applyNumberFormat="1" applyFont="1" applyBorder="1" applyAlignment="1">
      <alignment horizontal="center" vertical="center" wrapText="1"/>
    </xf>
    <xf numFmtId="164" fontId="3" fillId="0" borderId="12" xfId="2" quotePrefix="1" applyNumberFormat="1" applyFont="1" applyBorder="1" applyAlignment="1">
      <alignment horizontal="center" vertical="center" wrapText="1"/>
    </xf>
    <xf numFmtId="41" fontId="3" fillId="0" borderId="12" xfId="2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166" fontId="3" fillId="0" borderId="9" xfId="2" applyNumberFormat="1" applyFont="1" applyBorder="1" applyAlignment="1">
      <alignment horizontal="center" vertical="center" wrapText="1"/>
    </xf>
    <xf numFmtId="164" fontId="3" fillId="0" borderId="9" xfId="2" quotePrefix="1" applyNumberFormat="1" applyFont="1" applyBorder="1" applyAlignment="1">
      <alignment horizontal="center" vertical="center" wrapText="1"/>
    </xf>
    <xf numFmtId="166" fontId="3" fillId="2" borderId="9" xfId="2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/>
    </xf>
    <xf numFmtId="164" fontId="3" fillId="0" borderId="9" xfId="2" quotePrefix="1" applyNumberFormat="1" applyFont="1" applyBorder="1" applyAlignment="1">
      <alignment vertical="center"/>
    </xf>
    <xf numFmtId="166" fontId="3" fillId="0" borderId="9" xfId="2" quotePrefix="1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11" fillId="0" borderId="16" xfId="0" applyFont="1" applyBorder="1" applyAlignment="1"/>
    <xf numFmtId="164" fontId="11" fillId="0" borderId="17" xfId="2" applyNumberFormat="1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164" fontId="3" fillId="0" borderId="9" xfId="0" applyNumberFormat="1" applyFont="1" applyBorder="1"/>
    <xf numFmtId="43" fontId="3" fillId="0" borderId="9" xfId="0" applyNumberFormat="1" applyFont="1" applyBorder="1"/>
    <xf numFmtId="41" fontId="11" fillId="0" borderId="17" xfId="2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11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/>
    </xf>
    <xf numFmtId="0" fontId="11" fillId="0" borderId="21" xfId="0" applyFont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164" fontId="3" fillId="0" borderId="9" xfId="2" applyNumberFormat="1" applyFont="1" applyFill="1" applyBorder="1" applyAlignment="1">
      <alignment horizontal="center" vertical="center" wrapText="1"/>
    </xf>
    <xf numFmtId="41" fontId="3" fillId="0" borderId="9" xfId="2" applyFont="1" applyBorder="1" applyAlignment="1">
      <alignment horizontal="center"/>
    </xf>
    <xf numFmtId="0" fontId="3" fillId="0" borderId="8" xfId="0" applyFont="1" applyFill="1" applyBorder="1" applyAlignment="1">
      <alignment vertical="center"/>
    </xf>
    <xf numFmtId="164" fontId="3" fillId="0" borderId="8" xfId="2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164" fontId="3" fillId="2" borderId="9" xfId="2" applyNumberFormat="1" applyFont="1" applyFill="1" applyBorder="1" applyAlignment="1">
      <alignment horizontal="center" vertical="center" wrapText="1"/>
    </xf>
    <xf numFmtId="164" fontId="3" fillId="2" borderId="8" xfId="2" applyNumberFormat="1" applyFont="1" applyFill="1" applyBorder="1" applyAlignment="1">
      <alignment horizontal="center" vertical="center"/>
    </xf>
    <xf numFmtId="164" fontId="3" fillId="2" borderId="9" xfId="2" applyNumberFormat="1" applyFont="1" applyFill="1" applyBorder="1"/>
    <xf numFmtId="43" fontId="3" fillId="2" borderId="9" xfId="0" applyNumberFormat="1" applyFont="1" applyFill="1" applyBorder="1"/>
    <xf numFmtId="41" fontId="3" fillId="2" borderId="8" xfId="2" applyNumberFormat="1" applyFont="1" applyFill="1" applyBorder="1" applyAlignment="1">
      <alignment horizontal="center" vertical="center"/>
    </xf>
    <xf numFmtId="41" fontId="3" fillId="2" borderId="9" xfId="2" applyNumberFormat="1" applyFont="1" applyFill="1" applyBorder="1"/>
    <xf numFmtId="0" fontId="6" fillId="2" borderId="8" xfId="0" applyFont="1" applyFill="1" applyBorder="1" applyAlignment="1"/>
    <xf numFmtId="41" fontId="12" fillId="0" borderId="9" xfId="2" applyFont="1" applyBorder="1" applyAlignment="1">
      <alignment horizontal="center" vertical="center" wrapText="1"/>
    </xf>
    <xf numFmtId="43" fontId="3" fillId="0" borderId="10" xfId="0" applyNumberFormat="1" applyFont="1" applyBorder="1"/>
    <xf numFmtId="164" fontId="3" fillId="0" borderId="9" xfId="2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7" fontId="3" fillId="0" borderId="0" xfId="1" applyNumberFormat="1" applyFont="1"/>
    <xf numFmtId="0" fontId="3" fillId="0" borderId="0" xfId="0" applyNumberFormat="1" applyFont="1"/>
    <xf numFmtId="0" fontId="3" fillId="2" borderId="9" xfId="0" applyFont="1" applyFill="1" applyBorder="1" applyAlignment="1">
      <alignment vertical="center"/>
    </xf>
    <xf numFmtId="164" fontId="12" fillId="0" borderId="9" xfId="2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8" fontId="3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41" fontId="3" fillId="2" borderId="9" xfId="2" applyFont="1" applyFill="1" applyBorder="1" applyAlignment="1"/>
    <xf numFmtId="41" fontId="0" fillId="0" borderId="9" xfId="2" applyFont="1" applyBorder="1" applyAlignment="1">
      <alignment horizontal="center"/>
    </xf>
    <xf numFmtId="41" fontId="3" fillId="0" borderId="10" xfId="2" applyFont="1" applyBorder="1"/>
    <xf numFmtId="41" fontId="3" fillId="2" borderId="9" xfId="2" applyFont="1" applyFill="1" applyBorder="1"/>
    <xf numFmtId="169" fontId="3" fillId="2" borderId="9" xfId="0" applyNumberFormat="1" applyFont="1" applyFill="1" applyBorder="1"/>
    <xf numFmtId="169" fontId="3" fillId="0" borderId="9" xfId="0" applyNumberFormat="1" applyFont="1" applyBorder="1"/>
    <xf numFmtId="0" fontId="7" fillId="0" borderId="23" xfId="0" applyFont="1" applyBorder="1" applyAlignment="1">
      <alignment horizontal="center" vertical="center"/>
    </xf>
    <xf numFmtId="164" fontId="7" fillId="0" borderId="23" xfId="2" applyNumberFormat="1" applyFont="1" applyBorder="1" applyAlignment="1">
      <alignment horizontal="center" vertical="center"/>
    </xf>
    <xf numFmtId="49" fontId="3" fillId="0" borderId="24" xfId="0" applyNumberFormat="1" applyFont="1" applyBorder="1"/>
    <xf numFmtId="43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4">
    <cellStyle name="Comma" xfId="1" builtinId="3"/>
    <cellStyle name="Comma [0]" xfId="2" builtinId="6"/>
    <cellStyle name="Normal" xfId="0" builtinId="0"/>
    <cellStyle name="Normal 4" xfId="3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"/>
  <sheetViews>
    <sheetView tabSelected="1" view="pageBreakPreview" zoomScale="80" zoomScaleNormal="80" zoomScaleSheetLayoutView="80" workbookViewId="0">
      <pane ySplit="5" topLeftCell="A226" activePane="bottomLeft" state="frozen"/>
      <selection pane="bottomLeft" activeCell="D244" sqref="D244"/>
    </sheetView>
  </sheetViews>
  <sheetFormatPr defaultColWidth="9.140625" defaultRowHeight="15" x14ac:dyDescent="0.25"/>
  <cols>
    <col min="1" max="1" width="6" style="2" customWidth="1"/>
    <col min="2" max="2" width="24.85546875" style="1" customWidth="1"/>
    <col min="3" max="3" width="7.140625" style="3" customWidth="1"/>
    <col min="4" max="4" width="33.28515625" style="3" customWidth="1"/>
    <col min="5" max="5" width="21.5703125" style="1" customWidth="1"/>
    <col min="6" max="6" width="12.7109375" style="1" customWidth="1"/>
    <col min="7" max="7" width="15" style="1" customWidth="1"/>
    <col min="8" max="8" width="12.7109375" style="1" customWidth="1"/>
    <col min="9" max="9" width="12.7109375" style="1" hidden="1" customWidth="1"/>
    <col min="10" max="10" width="15.5703125" style="1" customWidth="1"/>
    <col min="11" max="11" width="20.7109375" style="1" customWidth="1"/>
    <col min="12" max="12" width="14.28515625" style="2" bestFit="1" customWidth="1"/>
    <col min="13" max="13" width="14.28515625" style="1" customWidth="1"/>
    <col min="14" max="14" width="14.5703125" style="1" bestFit="1" customWidth="1"/>
    <col min="15" max="15" width="12" style="1" bestFit="1" customWidth="1"/>
    <col min="16" max="16384" width="9.140625" style="1"/>
  </cols>
  <sheetData>
    <row r="1" spans="1:15" x14ac:dyDescent="0.2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5" x14ac:dyDescent="0.25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</row>
    <row r="3" spans="1:15" ht="15.75" thickBot="1" x14ac:dyDescent="0.3">
      <c r="G3" s="2"/>
    </row>
    <row r="4" spans="1:15" ht="45" customHeight="1" thickTop="1" x14ac:dyDescent="0.25">
      <c r="A4" s="4" t="s">
        <v>1</v>
      </c>
      <c r="B4" s="5" t="s">
        <v>2</v>
      </c>
      <c r="C4" s="136" t="s">
        <v>3</v>
      </c>
      <c r="D4" s="137"/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7" t="s">
        <v>12</v>
      </c>
    </row>
    <row r="5" spans="1:15" s="13" customFormat="1" ht="15.75" customHeight="1" x14ac:dyDescent="0.2">
      <c r="A5" s="8">
        <v>1</v>
      </c>
      <c r="B5" s="9">
        <v>2</v>
      </c>
      <c r="C5" s="138">
        <v>3</v>
      </c>
      <c r="D5" s="139"/>
      <c r="E5" s="10">
        <v>4</v>
      </c>
      <c r="F5" s="10">
        <v>5</v>
      </c>
      <c r="G5" s="10">
        <v>6</v>
      </c>
      <c r="H5" s="10">
        <v>7</v>
      </c>
      <c r="I5" s="10"/>
      <c r="J5" s="11">
        <v>8</v>
      </c>
      <c r="K5" s="10">
        <v>9</v>
      </c>
      <c r="L5" s="10">
        <v>10</v>
      </c>
      <c r="M5" s="12">
        <v>11</v>
      </c>
    </row>
    <row r="6" spans="1:15" ht="17.25" customHeight="1" x14ac:dyDescent="0.25">
      <c r="A6" s="14" t="s">
        <v>13</v>
      </c>
      <c r="B6" s="15" t="s">
        <v>14</v>
      </c>
      <c r="C6" s="16">
        <v>1</v>
      </c>
      <c r="D6" s="17" t="s">
        <v>15</v>
      </c>
      <c r="E6" s="18" t="s">
        <v>16</v>
      </c>
      <c r="F6" s="19">
        <v>13</v>
      </c>
      <c r="G6" s="19">
        <v>99</v>
      </c>
      <c r="H6" s="19">
        <v>9</v>
      </c>
      <c r="I6" s="19"/>
      <c r="J6" s="19">
        <f>SUM(F6:H6)</f>
        <v>121</v>
      </c>
      <c r="K6" s="19">
        <v>73500</v>
      </c>
      <c r="L6" s="20">
        <v>118</v>
      </c>
      <c r="M6" s="21"/>
    </row>
    <row r="7" spans="1:15" ht="17.25" customHeight="1" x14ac:dyDescent="0.25">
      <c r="A7" s="22"/>
      <c r="B7" s="23"/>
      <c r="C7" s="16">
        <v>2</v>
      </c>
      <c r="D7" s="24" t="s">
        <v>17</v>
      </c>
      <c r="E7" s="18" t="s">
        <v>16</v>
      </c>
      <c r="F7" s="19">
        <v>5</v>
      </c>
      <c r="G7" s="19">
        <v>21</v>
      </c>
      <c r="H7" s="19">
        <v>7</v>
      </c>
      <c r="I7" s="19"/>
      <c r="J7" s="19">
        <f t="shared" ref="J7:J35" si="0">SUM(F7:H7)</f>
        <v>33</v>
      </c>
      <c r="K7" s="19">
        <v>16500</v>
      </c>
      <c r="L7" s="20">
        <v>63</v>
      </c>
      <c r="M7" s="21"/>
    </row>
    <row r="8" spans="1:15" ht="17.25" customHeight="1" x14ac:dyDescent="0.25">
      <c r="A8" s="14"/>
      <c r="B8" s="23"/>
      <c r="C8" s="16">
        <v>3</v>
      </c>
      <c r="D8" s="24" t="s">
        <v>18</v>
      </c>
      <c r="E8" s="18" t="s">
        <v>16</v>
      </c>
      <c r="F8" s="19">
        <v>10.625</v>
      </c>
      <c r="G8" s="19">
        <v>166.375</v>
      </c>
      <c r="H8" s="19">
        <v>15</v>
      </c>
      <c r="I8" s="19"/>
      <c r="J8" s="19">
        <f t="shared" si="0"/>
        <v>192</v>
      </c>
      <c r="K8" s="19">
        <f>SUM(O11*G8)</f>
        <v>124781.25</v>
      </c>
      <c r="L8" s="20">
        <v>152</v>
      </c>
      <c r="M8" s="21"/>
    </row>
    <row r="9" spans="1:15" ht="17.25" customHeight="1" x14ac:dyDescent="0.25">
      <c r="A9" s="22"/>
      <c r="B9" s="23"/>
      <c r="C9" s="16">
        <v>4</v>
      </c>
      <c r="D9" s="24" t="s">
        <v>19</v>
      </c>
      <c r="E9" s="18" t="s">
        <v>16</v>
      </c>
      <c r="F9" s="19">
        <v>95.5</v>
      </c>
      <c r="G9" s="19">
        <v>270</v>
      </c>
      <c r="H9" s="19">
        <v>35.5</v>
      </c>
      <c r="I9" s="19"/>
      <c r="J9" s="19">
        <f t="shared" si="0"/>
        <v>401</v>
      </c>
      <c r="K9" s="19">
        <v>212510</v>
      </c>
      <c r="L9" s="20">
        <v>119</v>
      </c>
      <c r="M9" s="21"/>
    </row>
    <row r="10" spans="1:15" ht="17.25" customHeight="1" x14ac:dyDescent="0.25">
      <c r="A10" s="14"/>
      <c r="B10" s="23"/>
      <c r="C10" s="16">
        <v>5</v>
      </c>
      <c r="D10" s="24" t="s">
        <v>20</v>
      </c>
      <c r="E10" s="18" t="s">
        <v>16</v>
      </c>
      <c r="F10" s="19">
        <v>11</v>
      </c>
      <c r="G10" s="19">
        <v>42</v>
      </c>
      <c r="H10" s="19">
        <v>33</v>
      </c>
      <c r="I10" s="19"/>
      <c r="J10" s="19">
        <f t="shared" si="0"/>
        <v>86</v>
      </c>
      <c r="K10" s="19">
        <f>SUM(O11*G10)</f>
        <v>31500</v>
      </c>
      <c r="L10" s="20">
        <v>68</v>
      </c>
      <c r="M10" s="21"/>
    </row>
    <row r="11" spans="1:15" ht="17.25" customHeight="1" x14ac:dyDescent="0.25">
      <c r="A11" s="22"/>
      <c r="B11" s="23"/>
      <c r="C11" s="16">
        <v>6</v>
      </c>
      <c r="D11" s="24" t="s">
        <v>21</v>
      </c>
      <c r="E11" s="18" t="s">
        <v>16</v>
      </c>
      <c r="F11" s="19">
        <v>11</v>
      </c>
      <c r="G11" s="19">
        <v>64</v>
      </c>
      <c r="H11" s="19">
        <v>37</v>
      </c>
      <c r="I11" s="19"/>
      <c r="J11" s="19">
        <f t="shared" si="0"/>
        <v>112</v>
      </c>
      <c r="K11" s="19">
        <f>SUM(O11*G11)</f>
        <v>48000</v>
      </c>
      <c r="L11" s="20">
        <v>132</v>
      </c>
      <c r="M11" s="21"/>
      <c r="O11" s="1">
        <v>750</v>
      </c>
    </row>
    <row r="12" spans="1:15" ht="17.25" customHeight="1" x14ac:dyDescent="0.25">
      <c r="A12" s="14"/>
      <c r="B12" s="23"/>
      <c r="C12" s="16">
        <v>7</v>
      </c>
      <c r="D12" s="24" t="s">
        <v>22</v>
      </c>
      <c r="E12" s="25" t="s">
        <v>16</v>
      </c>
      <c r="F12" s="19">
        <v>6</v>
      </c>
      <c r="G12" s="19">
        <v>137</v>
      </c>
      <c r="H12" s="19">
        <v>8</v>
      </c>
      <c r="I12" s="19"/>
      <c r="J12" s="19">
        <f>SUM(F12:H12)</f>
        <v>151</v>
      </c>
      <c r="K12" s="19">
        <f>SUM(O11*G12)</f>
        <v>102750</v>
      </c>
      <c r="L12" s="20">
        <v>162</v>
      </c>
      <c r="M12" s="21"/>
    </row>
    <row r="13" spans="1:15" ht="17.25" customHeight="1" x14ac:dyDescent="0.25">
      <c r="A13" s="22"/>
      <c r="B13" s="23"/>
      <c r="C13" s="16">
        <v>8</v>
      </c>
      <c r="D13" s="24" t="s">
        <v>23</v>
      </c>
      <c r="E13" s="25" t="s">
        <v>16</v>
      </c>
      <c r="F13" s="19">
        <v>10</v>
      </c>
      <c r="G13" s="19">
        <v>76</v>
      </c>
      <c r="H13" s="19">
        <v>5</v>
      </c>
      <c r="I13" s="19"/>
      <c r="J13" s="19">
        <f t="shared" si="0"/>
        <v>91</v>
      </c>
      <c r="K13" s="19">
        <v>48750</v>
      </c>
      <c r="L13" s="20">
        <v>549</v>
      </c>
      <c r="M13" s="21"/>
    </row>
    <row r="14" spans="1:15" ht="17.25" customHeight="1" x14ac:dyDescent="0.25">
      <c r="A14" s="14"/>
      <c r="B14" s="23"/>
      <c r="C14" s="16">
        <v>9</v>
      </c>
      <c r="D14" s="24" t="s">
        <v>24</v>
      </c>
      <c r="E14" s="25" t="s">
        <v>16</v>
      </c>
      <c r="F14" s="19">
        <v>1</v>
      </c>
      <c r="G14" s="19">
        <v>84.5</v>
      </c>
      <c r="H14" s="19">
        <v>3</v>
      </c>
      <c r="I14" s="19"/>
      <c r="J14" s="19">
        <f t="shared" si="0"/>
        <v>88.5</v>
      </c>
      <c r="K14" s="19">
        <v>62625</v>
      </c>
      <c r="L14" s="20">
        <v>198</v>
      </c>
      <c r="M14" s="21"/>
    </row>
    <row r="15" spans="1:15" ht="17.25" customHeight="1" x14ac:dyDescent="0.25">
      <c r="A15" s="22"/>
      <c r="B15" s="23"/>
      <c r="C15" s="16">
        <v>10</v>
      </c>
      <c r="D15" s="24" t="s">
        <v>25</v>
      </c>
      <c r="E15" s="25" t="s">
        <v>16</v>
      </c>
      <c r="F15" s="19">
        <v>65</v>
      </c>
      <c r="G15" s="19">
        <v>343</v>
      </c>
      <c r="H15" s="19">
        <v>12</v>
      </c>
      <c r="I15" s="19"/>
      <c r="J15" s="19">
        <f t="shared" si="0"/>
        <v>420</v>
      </c>
      <c r="K15" s="19">
        <v>257250</v>
      </c>
      <c r="L15" s="20">
        <v>291</v>
      </c>
      <c r="M15" s="21"/>
    </row>
    <row r="16" spans="1:15" ht="17.25" customHeight="1" x14ac:dyDescent="0.25">
      <c r="A16" s="14"/>
      <c r="B16" s="23"/>
      <c r="C16" s="16">
        <v>11</v>
      </c>
      <c r="D16" s="26" t="s">
        <v>26</v>
      </c>
      <c r="E16" s="25" t="s">
        <v>16</v>
      </c>
      <c r="F16" s="19">
        <v>10</v>
      </c>
      <c r="G16" s="19">
        <v>27</v>
      </c>
      <c r="H16" s="19">
        <v>4</v>
      </c>
      <c r="I16" s="19"/>
      <c r="J16" s="19">
        <f t="shared" si="0"/>
        <v>41</v>
      </c>
      <c r="K16" s="19">
        <v>19500</v>
      </c>
      <c r="L16" s="20">
        <v>68</v>
      </c>
      <c r="M16" s="21"/>
    </row>
    <row r="17" spans="1:15" ht="17.25" customHeight="1" x14ac:dyDescent="0.25">
      <c r="A17" s="22"/>
      <c r="B17" s="23"/>
      <c r="C17" s="16">
        <v>12</v>
      </c>
      <c r="D17" s="24" t="s">
        <v>27</v>
      </c>
      <c r="E17" s="25" t="s">
        <v>16</v>
      </c>
      <c r="F17" s="19">
        <v>1</v>
      </c>
      <c r="G17" s="19">
        <v>49.5</v>
      </c>
      <c r="H17" s="19">
        <v>3</v>
      </c>
      <c r="I17" s="19"/>
      <c r="J17" s="19">
        <f t="shared" si="0"/>
        <v>53.5</v>
      </c>
      <c r="K17" s="19">
        <v>37.125</v>
      </c>
      <c r="L17" s="20">
        <v>94</v>
      </c>
      <c r="M17" s="21"/>
    </row>
    <row r="18" spans="1:15" ht="17.25" customHeight="1" x14ac:dyDescent="0.25">
      <c r="A18" s="14"/>
      <c r="B18" s="23"/>
      <c r="C18" s="16">
        <v>13</v>
      </c>
      <c r="D18" s="24" t="s">
        <v>28</v>
      </c>
      <c r="E18" s="25" t="s">
        <v>16</v>
      </c>
      <c r="F18" s="19">
        <v>4</v>
      </c>
      <c r="G18" s="19">
        <v>294</v>
      </c>
      <c r="H18" s="19">
        <v>4</v>
      </c>
      <c r="I18" s="19"/>
      <c r="J18" s="19">
        <f t="shared" si="0"/>
        <v>302</v>
      </c>
      <c r="K18" s="19">
        <v>191100</v>
      </c>
      <c r="L18" s="20">
        <v>150</v>
      </c>
      <c r="M18" s="21"/>
    </row>
    <row r="19" spans="1:15" ht="17.25" customHeight="1" x14ac:dyDescent="0.25">
      <c r="A19" s="22"/>
      <c r="B19" s="23"/>
      <c r="C19" s="16">
        <v>14</v>
      </c>
      <c r="D19" s="24" t="s">
        <v>29</v>
      </c>
      <c r="E19" s="25" t="s">
        <v>16</v>
      </c>
      <c r="F19" s="19">
        <v>10.99</v>
      </c>
      <c r="G19" s="19">
        <v>51.01</v>
      </c>
      <c r="H19" s="19">
        <v>21</v>
      </c>
      <c r="I19" s="19"/>
      <c r="J19" s="19">
        <f t="shared" si="0"/>
        <v>83</v>
      </c>
      <c r="K19" s="19">
        <f>SUM(O19*G19)</f>
        <v>38257.5</v>
      </c>
      <c r="L19" s="20">
        <v>455</v>
      </c>
      <c r="M19" s="21"/>
      <c r="O19" s="1">
        <v>750</v>
      </c>
    </row>
    <row r="20" spans="1:15" ht="17.25" customHeight="1" x14ac:dyDescent="0.25">
      <c r="A20" s="14"/>
      <c r="B20" s="23"/>
      <c r="C20" s="16">
        <v>15</v>
      </c>
      <c r="D20" s="24" t="s">
        <v>30</v>
      </c>
      <c r="E20" s="25" t="s">
        <v>16</v>
      </c>
      <c r="F20" s="19">
        <v>220.75</v>
      </c>
      <c r="G20" s="19">
        <v>718.56</v>
      </c>
      <c r="H20" s="19">
        <v>160.69</v>
      </c>
      <c r="I20" s="19"/>
      <c r="J20" s="19">
        <f t="shared" si="0"/>
        <v>1100</v>
      </c>
      <c r="K20" s="19">
        <f>SUM(O19*G20)</f>
        <v>538920</v>
      </c>
      <c r="L20" s="20">
        <v>364</v>
      </c>
      <c r="M20" s="21"/>
    </row>
    <row r="21" spans="1:15" ht="17.25" customHeight="1" x14ac:dyDescent="0.25">
      <c r="A21" s="22"/>
      <c r="B21" s="23"/>
      <c r="C21" s="16">
        <v>16</v>
      </c>
      <c r="D21" s="26" t="s">
        <v>31</v>
      </c>
      <c r="E21" s="25" t="s">
        <v>16</v>
      </c>
      <c r="F21" s="19">
        <v>5</v>
      </c>
      <c r="G21" s="19">
        <v>21</v>
      </c>
      <c r="H21" s="19">
        <v>5</v>
      </c>
      <c r="I21" s="19"/>
      <c r="J21" s="19">
        <f t="shared" si="0"/>
        <v>31</v>
      </c>
      <c r="K21" s="19">
        <v>14000</v>
      </c>
      <c r="L21" s="20">
        <v>88</v>
      </c>
      <c r="M21" s="21"/>
    </row>
    <row r="22" spans="1:15" ht="17.25" customHeight="1" x14ac:dyDescent="0.25">
      <c r="A22" s="14"/>
      <c r="B22" s="23"/>
      <c r="C22" s="16">
        <v>17</v>
      </c>
      <c r="D22" s="24" t="s">
        <v>32</v>
      </c>
      <c r="E22" s="25" t="s">
        <v>16</v>
      </c>
      <c r="F22" s="19">
        <v>30</v>
      </c>
      <c r="G22" s="19">
        <v>51</v>
      </c>
      <c r="H22" s="19">
        <v>0</v>
      </c>
      <c r="I22" s="19"/>
      <c r="J22" s="19">
        <f t="shared" si="0"/>
        <v>81</v>
      </c>
      <c r="K22" s="19">
        <v>30000</v>
      </c>
      <c r="L22" s="20">
        <v>71</v>
      </c>
      <c r="M22" s="21"/>
    </row>
    <row r="23" spans="1:15" ht="17.25" customHeight="1" x14ac:dyDescent="0.25">
      <c r="A23" s="22"/>
      <c r="B23" s="23"/>
      <c r="C23" s="16">
        <v>18</v>
      </c>
      <c r="D23" s="26" t="s">
        <v>33</v>
      </c>
      <c r="E23" s="25" t="s">
        <v>16</v>
      </c>
      <c r="F23" s="19">
        <v>2</v>
      </c>
      <c r="G23" s="19">
        <v>18.5</v>
      </c>
      <c r="H23" s="19">
        <v>3.5</v>
      </c>
      <c r="I23" s="19"/>
      <c r="J23" s="19">
        <f t="shared" si="0"/>
        <v>24</v>
      </c>
      <c r="K23" s="19">
        <v>14000</v>
      </c>
      <c r="L23" s="20">
        <v>62</v>
      </c>
      <c r="M23" s="21"/>
      <c r="O23" s="1">
        <v>650</v>
      </c>
    </row>
    <row r="24" spans="1:15" ht="17.25" customHeight="1" x14ac:dyDescent="0.25">
      <c r="A24" s="14"/>
      <c r="B24" s="23"/>
      <c r="C24" s="16">
        <v>19</v>
      </c>
      <c r="D24" s="24" t="s">
        <v>34</v>
      </c>
      <c r="E24" s="25" t="s">
        <v>16</v>
      </c>
      <c r="F24" s="19">
        <v>0.5</v>
      </c>
      <c r="G24" s="19">
        <v>37</v>
      </c>
      <c r="H24" s="19">
        <v>2.5</v>
      </c>
      <c r="I24" s="19"/>
      <c r="J24" s="19">
        <f t="shared" si="0"/>
        <v>40</v>
      </c>
      <c r="K24" s="19">
        <v>23400</v>
      </c>
      <c r="L24" s="20">
        <v>52</v>
      </c>
      <c r="M24" s="21"/>
    </row>
    <row r="25" spans="1:15" ht="17.25" customHeight="1" x14ac:dyDescent="0.25">
      <c r="A25" s="22"/>
      <c r="B25" s="23"/>
      <c r="C25" s="16">
        <v>20</v>
      </c>
      <c r="D25" s="24" t="s">
        <v>35</v>
      </c>
      <c r="E25" s="25" t="s">
        <v>16</v>
      </c>
      <c r="F25" s="19">
        <v>6</v>
      </c>
      <c r="G25" s="19">
        <v>91</v>
      </c>
      <c r="H25" s="19">
        <v>3</v>
      </c>
      <c r="I25" s="19"/>
      <c r="J25" s="19">
        <f t="shared" si="0"/>
        <v>100</v>
      </c>
      <c r="K25" s="19">
        <v>59150</v>
      </c>
      <c r="L25" s="20">
        <v>109</v>
      </c>
      <c r="M25" s="21"/>
    </row>
    <row r="26" spans="1:15" ht="17.25" customHeight="1" x14ac:dyDescent="0.25">
      <c r="A26" s="22"/>
      <c r="B26" s="23"/>
      <c r="C26" s="16">
        <v>21</v>
      </c>
      <c r="D26" s="24" t="s">
        <v>36</v>
      </c>
      <c r="E26" s="25" t="s">
        <v>16</v>
      </c>
      <c r="F26" s="19">
        <v>3</v>
      </c>
      <c r="G26" s="19">
        <v>16</v>
      </c>
      <c r="H26" s="19">
        <v>2</v>
      </c>
      <c r="I26" s="19"/>
      <c r="J26" s="19">
        <v>20</v>
      </c>
      <c r="K26" s="19">
        <f>SUM(O26*G26)</f>
        <v>9920</v>
      </c>
      <c r="L26" s="20">
        <v>55</v>
      </c>
      <c r="M26" s="21"/>
      <c r="O26" s="1">
        <v>620</v>
      </c>
    </row>
    <row r="27" spans="1:15" ht="17.25" customHeight="1" x14ac:dyDescent="0.25">
      <c r="A27" s="22"/>
      <c r="B27" s="23"/>
      <c r="C27" s="16">
        <v>22</v>
      </c>
      <c r="D27" s="24" t="s">
        <v>37</v>
      </c>
      <c r="E27" s="25" t="s">
        <v>16</v>
      </c>
      <c r="F27" s="19"/>
      <c r="G27" s="19">
        <v>3</v>
      </c>
      <c r="H27" s="19"/>
      <c r="I27" s="19"/>
      <c r="J27" s="19">
        <f t="shared" si="0"/>
        <v>3</v>
      </c>
      <c r="K27" s="19">
        <v>1260</v>
      </c>
      <c r="L27" s="20">
        <v>8</v>
      </c>
      <c r="M27" s="21"/>
    </row>
    <row r="28" spans="1:15" ht="17.25" customHeight="1" x14ac:dyDescent="0.25">
      <c r="A28" s="22"/>
      <c r="B28" s="23"/>
      <c r="C28" s="16">
        <v>23</v>
      </c>
      <c r="D28" s="24" t="s">
        <v>38</v>
      </c>
      <c r="E28" s="25" t="s">
        <v>16</v>
      </c>
      <c r="F28" s="19">
        <v>10</v>
      </c>
      <c r="G28" s="19">
        <v>19</v>
      </c>
      <c r="H28" s="19">
        <v>16</v>
      </c>
      <c r="I28" s="19"/>
      <c r="J28" s="19">
        <f t="shared" si="0"/>
        <v>45</v>
      </c>
      <c r="K28" s="19">
        <f>SUM(O28*G28)</f>
        <v>11875</v>
      </c>
      <c r="L28" s="20">
        <v>42</v>
      </c>
      <c r="M28" s="21"/>
      <c r="O28" s="1">
        <v>625</v>
      </c>
    </row>
    <row r="29" spans="1:15" ht="17.25" customHeight="1" x14ac:dyDescent="0.25">
      <c r="A29" s="22"/>
      <c r="B29" s="23"/>
      <c r="C29" s="16">
        <v>24</v>
      </c>
      <c r="D29" s="24" t="s">
        <v>39</v>
      </c>
      <c r="E29" s="25" t="s">
        <v>16</v>
      </c>
      <c r="F29" s="19">
        <v>18.420000000000002</v>
      </c>
      <c r="G29" s="19">
        <v>39.75</v>
      </c>
      <c r="H29" s="19">
        <v>2.83</v>
      </c>
      <c r="I29" s="19"/>
      <c r="J29" s="19">
        <f t="shared" si="0"/>
        <v>61</v>
      </c>
      <c r="K29" s="19">
        <f>SUM(O23*G29)</f>
        <v>25837.5</v>
      </c>
      <c r="L29" s="20">
        <v>112</v>
      </c>
      <c r="M29" s="21"/>
    </row>
    <row r="30" spans="1:15" ht="17.25" customHeight="1" x14ac:dyDescent="0.25">
      <c r="A30" s="22"/>
      <c r="B30" s="23"/>
      <c r="C30" s="16">
        <v>25</v>
      </c>
      <c r="D30" s="24" t="s">
        <v>40</v>
      </c>
      <c r="E30" s="25" t="s">
        <v>16</v>
      </c>
      <c r="F30" s="19">
        <v>1</v>
      </c>
      <c r="G30" s="19">
        <v>94</v>
      </c>
      <c r="H30" s="19">
        <v>0</v>
      </c>
      <c r="I30" s="19"/>
      <c r="J30" s="19">
        <f t="shared" si="0"/>
        <v>95</v>
      </c>
      <c r="K30" s="19">
        <v>58590</v>
      </c>
      <c r="L30" s="20">
        <v>111</v>
      </c>
      <c r="M30" s="21"/>
    </row>
    <row r="31" spans="1:15" ht="17.25" customHeight="1" x14ac:dyDescent="0.25">
      <c r="A31" s="22"/>
      <c r="B31" s="23"/>
      <c r="C31" s="16">
        <v>26</v>
      </c>
      <c r="D31" s="24" t="s">
        <v>41</v>
      </c>
      <c r="E31" s="25" t="s">
        <v>16</v>
      </c>
      <c r="F31" s="19">
        <v>0</v>
      </c>
      <c r="G31" s="19">
        <v>16</v>
      </c>
      <c r="H31" s="19">
        <v>0</v>
      </c>
      <c r="I31" s="19"/>
      <c r="J31" s="19">
        <f t="shared" si="0"/>
        <v>16</v>
      </c>
      <c r="K31" s="19">
        <v>9000</v>
      </c>
      <c r="L31" s="20">
        <v>188</v>
      </c>
      <c r="M31" s="21"/>
    </row>
    <row r="32" spans="1:15" ht="17.25" customHeight="1" x14ac:dyDescent="0.25">
      <c r="A32" s="22"/>
      <c r="B32" s="23"/>
      <c r="C32" s="16">
        <v>27</v>
      </c>
      <c r="D32" s="24" t="s">
        <v>42</v>
      </c>
      <c r="E32" s="25" t="s">
        <v>16</v>
      </c>
      <c r="F32" s="19">
        <v>0</v>
      </c>
      <c r="G32" s="19">
        <v>51.5</v>
      </c>
      <c r="H32" s="19">
        <v>43</v>
      </c>
      <c r="I32" s="19"/>
      <c r="J32" s="19">
        <f t="shared" si="0"/>
        <v>94.5</v>
      </c>
      <c r="K32" s="19">
        <v>32825</v>
      </c>
      <c r="L32" s="20">
        <v>185</v>
      </c>
      <c r="M32" s="21"/>
    </row>
    <row r="33" spans="1:15" ht="17.25" customHeight="1" x14ac:dyDescent="0.25">
      <c r="A33" s="22"/>
      <c r="B33" s="23"/>
      <c r="C33" s="16">
        <v>28</v>
      </c>
      <c r="D33" s="27" t="s">
        <v>43</v>
      </c>
      <c r="E33" s="25" t="s">
        <v>16</v>
      </c>
      <c r="F33" s="19">
        <v>9</v>
      </c>
      <c r="G33" s="19">
        <v>21</v>
      </c>
      <c r="H33" s="19">
        <v>7</v>
      </c>
      <c r="I33" s="19"/>
      <c r="J33" s="19">
        <f t="shared" si="0"/>
        <v>37</v>
      </c>
      <c r="K33" s="19">
        <v>12000</v>
      </c>
      <c r="L33" s="28">
        <v>19</v>
      </c>
      <c r="M33" s="21"/>
    </row>
    <row r="34" spans="1:15" ht="17.25" customHeight="1" x14ac:dyDescent="0.25">
      <c r="A34" s="22"/>
      <c r="B34" s="23"/>
      <c r="C34" s="16">
        <v>29</v>
      </c>
      <c r="D34" s="24" t="s">
        <v>44</v>
      </c>
      <c r="E34" s="25" t="s">
        <v>16</v>
      </c>
      <c r="F34" s="19">
        <v>0</v>
      </c>
      <c r="G34" s="19">
        <v>77</v>
      </c>
      <c r="H34" s="19">
        <v>124</v>
      </c>
      <c r="I34" s="19"/>
      <c r="J34" s="19">
        <f>SUM(F34:H34)</f>
        <v>201</v>
      </c>
      <c r="K34" s="19">
        <v>47880</v>
      </c>
      <c r="L34" s="20">
        <v>400</v>
      </c>
      <c r="M34" s="21"/>
    </row>
    <row r="35" spans="1:15" ht="17.25" customHeight="1" x14ac:dyDescent="0.25">
      <c r="A35" s="22"/>
      <c r="B35" s="23"/>
      <c r="C35" s="16">
        <v>30</v>
      </c>
      <c r="D35" s="24" t="s">
        <v>45</v>
      </c>
      <c r="E35" s="25" t="s">
        <v>16</v>
      </c>
      <c r="F35" s="19">
        <v>20</v>
      </c>
      <c r="G35" s="29">
        <v>56</v>
      </c>
      <c r="H35" s="19">
        <v>25</v>
      </c>
      <c r="I35" s="19"/>
      <c r="J35" s="19">
        <f t="shared" si="0"/>
        <v>101</v>
      </c>
      <c r="K35" s="19">
        <v>34650</v>
      </c>
      <c r="L35" s="20">
        <v>150</v>
      </c>
      <c r="M35" s="21"/>
      <c r="N35" s="30">
        <v>4957</v>
      </c>
    </row>
    <row r="36" spans="1:15" ht="17.25" customHeight="1" x14ac:dyDescent="0.25">
      <c r="A36" s="131" t="s">
        <v>46</v>
      </c>
      <c r="B36" s="132"/>
      <c r="C36" s="132"/>
      <c r="D36" s="132"/>
      <c r="E36" s="31"/>
      <c r="F36" s="32">
        <f>SUM(F6:F35)</f>
        <v>579.78499999999997</v>
      </c>
      <c r="G36" s="32">
        <f t="shared" ref="G36:J36" si="1">SUM(G6:G35)</f>
        <v>3054.6949999999997</v>
      </c>
      <c r="H36" s="32">
        <f t="shared" si="1"/>
        <v>591.02</v>
      </c>
      <c r="I36" s="32"/>
      <c r="J36" s="33">
        <f t="shared" si="1"/>
        <v>4224.5</v>
      </c>
      <c r="K36" s="32">
        <f>SUM(K6:K35)</f>
        <v>2150368.375</v>
      </c>
      <c r="L36" s="32">
        <f>SUM(L6:L35)</f>
        <v>4635</v>
      </c>
      <c r="M36" s="34"/>
      <c r="N36" s="35">
        <v>1110</v>
      </c>
      <c r="O36" s="36"/>
    </row>
    <row r="37" spans="1:15" s="3" customFormat="1" ht="17.25" customHeight="1" x14ac:dyDescent="0.25">
      <c r="A37" s="37" t="s">
        <v>47</v>
      </c>
      <c r="B37" s="38" t="s">
        <v>48</v>
      </c>
      <c r="C37" s="16">
        <v>31</v>
      </c>
      <c r="D37" s="39" t="s">
        <v>49</v>
      </c>
      <c r="E37" s="25" t="s">
        <v>16</v>
      </c>
      <c r="F37" s="40">
        <v>35</v>
      </c>
      <c r="G37" s="40">
        <v>445</v>
      </c>
      <c r="H37" s="40">
        <v>27</v>
      </c>
      <c r="I37" s="41">
        <f>SUM(F37:H37)</f>
        <v>507</v>
      </c>
      <c r="J37" s="41">
        <f>SUM(F37:H37)</f>
        <v>507</v>
      </c>
      <c r="K37" s="42">
        <f>700*G37</f>
        <v>311500</v>
      </c>
      <c r="L37" s="43">
        <v>300</v>
      </c>
      <c r="M37" s="44"/>
      <c r="N37" s="3" t="str">
        <f t="shared" ref="N37:N63" si="2">LOWER(D37)</f>
        <v>buntul peteri</v>
      </c>
    </row>
    <row r="38" spans="1:15" s="3" customFormat="1" ht="17.25" customHeight="1" x14ac:dyDescent="0.25">
      <c r="A38" s="37"/>
      <c r="B38" s="45"/>
      <c r="C38" s="16">
        <v>32</v>
      </c>
      <c r="D38" s="39" t="s">
        <v>50</v>
      </c>
      <c r="E38" s="25" t="s">
        <v>16</v>
      </c>
      <c r="F38" s="40">
        <v>10</v>
      </c>
      <c r="G38" s="40">
        <v>192</v>
      </c>
      <c r="H38" s="40">
        <v>22</v>
      </c>
      <c r="I38" s="41">
        <f t="shared" ref="I38:I63" si="3">SUM(F38:H38)</f>
        <v>224</v>
      </c>
      <c r="J38" s="41">
        <f t="shared" ref="J38:J63" si="4">SUM(F38:H38)</f>
        <v>224</v>
      </c>
      <c r="K38" s="40">
        <f>700*G38</f>
        <v>134400</v>
      </c>
      <c r="L38" s="43">
        <v>140</v>
      </c>
      <c r="M38" s="44"/>
      <c r="N38" s="3" t="str">
        <f t="shared" si="2"/>
        <v>bale musara</v>
      </c>
    </row>
    <row r="39" spans="1:15" s="3" customFormat="1" ht="17.25" customHeight="1" x14ac:dyDescent="0.25">
      <c r="A39" s="37"/>
      <c r="B39" s="45"/>
      <c r="C39" s="16">
        <v>33</v>
      </c>
      <c r="D39" s="39" t="s">
        <v>51</v>
      </c>
      <c r="E39" s="25" t="s">
        <v>16</v>
      </c>
      <c r="F39" s="46">
        <v>10</v>
      </c>
      <c r="G39" s="46">
        <v>310</v>
      </c>
      <c r="H39" s="46">
        <v>8</v>
      </c>
      <c r="I39" s="41">
        <f t="shared" si="3"/>
        <v>328</v>
      </c>
      <c r="J39" s="41">
        <f t="shared" si="4"/>
        <v>328</v>
      </c>
      <c r="K39" s="46">
        <f>700*G39</f>
        <v>217000</v>
      </c>
      <c r="L39" s="47">
        <v>226</v>
      </c>
      <c r="M39" s="44"/>
      <c r="N39" s="3" t="str">
        <f t="shared" si="2"/>
        <v>jungke</v>
      </c>
    </row>
    <row r="40" spans="1:15" s="3" customFormat="1" ht="17.25" customHeight="1" x14ac:dyDescent="0.25">
      <c r="A40" s="37"/>
      <c r="B40" s="45"/>
      <c r="C40" s="16">
        <v>34</v>
      </c>
      <c r="D40" s="39" t="s">
        <v>52</v>
      </c>
      <c r="E40" s="25" t="s">
        <v>16</v>
      </c>
      <c r="F40" s="46">
        <v>20</v>
      </c>
      <c r="G40" s="46">
        <v>125.5</v>
      </c>
      <c r="H40" s="46">
        <v>13.5</v>
      </c>
      <c r="I40" s="41">
        <f t="shared" si="3"/>
        <v>159</v>
      </c>
      <c r="J40" s="41">
        <f t="shared" si="4"/>
        <v>159</v>
      </c>
      <c r="K40" s="46">
        <f t="shared" ref="K40:K55" si="5">700*G40</f>
        <v>87850</v>
      </c>
      <c r="L40" s="47">
        <v>208</v>
      </c>
      <c r="M40" s="44"/>
      <c r="N40" s="3" t="str">
        <f t="shared" si="2"/>
        <v>kepies</v>
      </c>
    </row>
    <row r="41" spans="1:15" s="3" customFormat="1" ht="17.25" customHeight="1" x14ac:dyDescent="0.25">
      <c r="A41" s="37"/>
      <c r="B41" s="45"/>
      <c r="C41" s="16">
        <v>35</v>
      </c>
      <c r="D41" s="48" t="s">
        <v>53</v>
      </c>
      <c r="E41" s="25" t="s">
        <v>16</v>
      </c>
      <c r="F41" s="46">
        <v>200</v>
      </c>
      <c r="G41" s="46">
        <v>800</v>
      </c>
      <c r="H41" s="46">
        <v>100</v>
      </c>
      <c r="I41" s="41">
        <f t="shared" si="3"/>
        <v>1100</v>
      </c>
      <c r="J41" s="41">
        <f t="shared" si="4"/>
        <v>1100</v>
      </c>
      <c r="K41" s="46">
        <f t="shared" si="5"/>
        <v>560000</v>
      </c>
      <c r="L41" s="47">
        <v>2000</v>
      </c>
      <c r="M41" s="44"/>
      <c r="N41" s="3" t="str">
        <f t="shared" si="2"/>
        <v>seni antara</v>
      </c>
    </row>
    <row r="42" spans="1:15" s="3" customFormat="1" ht="17.25" customHeight="1" x14ac:dyDescent="0.25">
      <c r="A42" s="37"/>
      <c r="B42" s="45"/>
      <c r="C42" s="16">
        <v>36</v>
      </c>
      <c r="D42" s="39" t="s">
        <v>54</v>
      </c>
      <c r="E42" s="25" t="s">
        <v>16</v>
      </c>
      <c r="F42" s="40">
        <v>50</v>
      </c>
      <c r="G42" s="40">
        <v>500</v>
      </c>
      <c r="H42" s="40">
        <v>250</v>
      </c>
      <c r="I42" s="41">
        <f t="shared" si="3"/>
        <v>800</v>
      </c>
      <c r="J42" s="41">
        <f t="shared" si="4"/>
        <v>800</v>
      </c>
      <c r="K42" s="46">
        <f t="shared" si="5"/>
        <v>350000</v>
      </c>
      <c r="L42" s="49">
        <v>569</v>
      </c>
      <c r="M42" s="44"/>
      <c r="N42" s="3" t="str">
        <f t="shared" si="2"/>
        <v>pantan tengah jaya</v>
      </c>
    </row>
    <row r="43" spans="1:15" s="3" customFormat="1" ht="17.25" customHeight="1" x14ac:dyDescent="0.25">
      <c r="A43" s="37"/>
      <c r="B43" s="45"/>
      <c r="C43" s="16">
        <v>37</v>
      </c>
      <c r="D43" s="39" t="s">
        <v>55</v>
      </c>
      <c r="E43" s="25" t="s">
        <v>16</v>
      </c>
      <c r="F43" s="40">
        <v>20</v>
      </c>
      <c r="G43" s="40">
        <v>162.1</v>
      </c>
      <c r="H43" s="40">
        <v>99</v>
      </c>
      <c r="I43" s="41">
        <f t="shared" si="3"/>
        <v>281.10000000000002</v>
      </c>
      <c r="J43" s="41">
        <f t="shared" si="4"/>
        <v>281.10000000000002</v>
      </c>
      <c r="K43" s="46">
        <f t="shared" si="5"/>
        <v>113470</v>
      </c>
      <c r="L43" s="49">
        <v>65</v>
      </c>
      <c r="M43" s="44"/>
      <c r="N43" s="3" t="str">
        <f t="shared" si="2"/>
        <v>ayu ara</v>
      </c>
    </row>
    <row r="44" spans="1:15" s="3" customFormat="1" ht="17.25" customHeight="1" x14ac:dyDescent="0.25">
      <c r="A44" s="37"/>
      <c r="B44" s="45"/>
      <c r="C44" s="16">
        <v>38</v>
      </c>
      <c r="D44" s="39" t="s">
        <v>56</v>
      </c>
      <c r="E44" s="25" t="s">
        <v>16</v>
      </c>
      <c r="F44" s="40">
        <v>73.5</v>
      </c>
      <c r="G44" s="40">
        <v>388.5</v>
      </c>
      <c r="H44" s="40">
        <v>73</v>
      </c>
      <c r="I44" s="41">
        <f t="shared" si="3"/>
        <v>535</v>
      </c>
      <c r="J44" s="41">
        <f t="shared" si="4"/>
        <v>535</v>
      </c>
      <c r="K44" s="46">
        <f t="shared" si="5"/>
        <v>271950</v>
      </c>
      <c r="L44" s="49">
        <v>144</v>
      </c>
      <c r="M44" s="44"/>
      <c r="N44" s="3" t="str">
        <f t="shared" si="2"/>
        <v>rikit musara</v>
      </c>
    </row>
    <row r="45" spans="1:15" s="3" customFormat="1" ht="17.25" customHeight="1" x14ac:dyDescent="0.25">
      <c r="A45" s="37"/>
      <c r="B45" s="45"/>
      <c r="C45" s="16">
        <v>39</v>
      </c>
      <c r="D45" s="50" t="s">
        <v>57</v>
      </c>
      <c r="E45" s="25" t="s">
        <v>16</v>
      </c>
      <c r="F45" s="51">
        <v>25</v>
      </c>
      <c r="G45" s="51">
        <v>274</v>
      </c>
      <c r="H45" s="51">
        <v>86</v>
      </c>
      <c r="I45" s="41">
        <f t="shared" si="3"/>
        <v>385</v>
      </c>
      <c r="J45" s="41">
        <f t="shared" si="4"/>
        <v>385</v>
      </c>
      <c r="K45" s="51">
        <f t="shared" si="5"/>
        <v>191800</v>
      </c>
      <c r="L45" s="49">
        <v>245</v>
      </c>
      <c r="M45" s="44"/>
      <c r="N45" s="3" t="str">
        <f t="shared" si="2"/>
        <v>suku sara tangke</v>
      </c>
    </row>
    <row r="46" spans="1:15" s="3" customFormat="1" ht="17.25" customHeight="1" x14ac:dyDescent="0.25">
      <c r="A46" s="37"/>
      <c r="B46" s="45"/>
      <c r="C46" s="16">
        <v>40</v>
      </c>
      <c r="D46" s="52" t="s">
        <v>58</v>
      </c>
      <c r="E46" s="25" t="s">
        <v>16</v>
      </c>
      <c r="F46" s="40">
        <v>0</v>
      </c>
      <c r="G46" s="40">
        <v>202</v>
      </c>
      <c r="H46" s="40">
        <v>10</v>
      </c>
      <c r="I46" s="41">
        <f t="shared" si="3"/>
        <v>212</v>
      </c>
      <c r="J46" s="41">
        <f t="shared" si="4"/>
        <v>212</v>
      </c>
      <c r="K46" s="40">
        <f t="shared" si="5"/>
        <v>141400</v>
      </c>
      <c r="L46" s="49">
        <v>260</v>
      </c>
      <c r="M46" s="44"/>
      <c r="N46" s="3" t="str">
        <f t="shared" si="2"/>
        <v>ramung jaya</v>
      </c>
    </row>
    <row r="47" spans="1:15" s="3" customFormat="1" ht="17.25" customHeight="1" x14ac:dyDescent="0.25">
      <c r="A47" s="37"/>
      <c r="B47" s="45"/>
      <c r="C47" s="16">
        <v>41</v>
      </c>
      <c r="D47" s="50" t="s">
        <v>59</v>
      </c>
      <c r="E47" s="25" t="s">
        <v>16</v>
      </c>
      <c r="F47" s="51">
        <v>75</v>
      </c>
      <c r="G47" s="51">
        <v>386</v>
      </c>
      <c r="H47" s="51">
        <v>206</v>
      </c>
      <c r="I47" s="41">
        <f t="shared" si="3"/>
        <v>667</v>
      </c>
      <c r="J47" s="41">
        <f t="shared" si="4"/>
        <v>667</v>
      </c>
      <c r="K47" s="51">
        <f t="shared" si="5"/>
        <v>270200</v>
      </c>
      <c r="L47" s="49">
        <v>175</v>
      </c>
      <c r="M47" s="44"/>
      <c r="N47" s="3" t="str">
        <f t="shared" si="2"/>
        <v>timur jaya</v>
      </c>
    </row>
    <row r="48" spans="1:15" s="3" customFormat="1" ht="17.25" customHeight="1" x14ac:dyDescent="0.25">
      <c r="A48" s="37"/>
      <c r="B48" s="45"/>
      <c r="C48" s="16">
        <v>42</v>
      </c>
      <c r="D48" s="52" t="s">
        <v>60</v>
      </c>
      <c r="E48" s="25" t="s">
        <v>16</v>
      </c>
      <c r="F48" s="40">
        <v>4</v>
      </c>
      <c r="G48" s="40">
        <v>115</v>
      </c>
      <c r="H48" s="40">
        <v>6</v>
      </c>
      <c r="I48" s="41">
        <f t="shared" si="3"/>
        <v>125</v>
      </c>
      <c r="J48" s="41">
        <f t="shared" si="4"/>
        <v>125</v>
      </c>
      <c r="K48" s="40">
        <f t="shared" si="5"/>
        <v>80500</v>
      </c>
      <c r="L48" s="49">
        <v>60</v>
      </c>
      <c r="M48" s="44"/>
      <c r="N48" s="3" t="str">
        <f t="shared" si="2"/>
        <v>ceding ayu</v>
      </c>
    </row>
    <row r="49" spans="1:14" s="3" customFormat="1" ht="17.25" customHeight="1" x14ac:dyDescent="0.25">
      <c r="A49" s="37"/>
      <c r="B49" s="45"/>
      <c r="C49" s="16">
        <v>43</v>
      </c>
      <c r="D49" s="39" t="s">
        <v>61</v>
      </c>
      <c r="E49" s="25" t="s">
        <v>16</v>
      </c>
      <c r="F49" s="40">
        <v>2</v>
      </c>
      <c r="G49" s="40">
        <v>107</v>
      </c>
      <c r="H49" s="40">
        <v>6</v>
      </c>
      <c r="I49" s="41">
        <f t="shared" si="3"/>
        <v>115</v>
      </c>
      <c r="J49" s="41">
        <f t="shared" si="4"/>
        <v>115</v>
      </c>
      <c r="K49" s="40">
        <f t="shared" si="5"/>
        <v>74900</v>
      </c>
      <c r="L49" s="47">
        <v>253</v>
      </c>
      <c r="M49" s="44"/>
      <c r="N49" s="3" t="str">
        <f t="shared" si="2"/>
        <v>darul aman</v>
      </c>
    </row>
    <row r="50" spans="1:14" s="3" customFormat="1" ht="17.25" customHeight="1" x14ac:dyDescent="0.25">
      <c r="A50" s="37"/>
      <c r="B50" s="45"/>
      <c r="C50" s="16">
        <v>44</v>
      </c>
      <c r="D50" s="39" t="s">
        <v>62</v>
      </c>
      <c r="E50" s="25" t="s">
        <v>16</v>
      </c>
      <c r="F50" s="46">
        <v>24.5</v>
      </c>
      <c r="G50" s="46">
        <v>380.5</v>
      </c>
      <c r="H50" s="46">
        <v>21</v>
      </c>
      <c r="I50" s="41">
        <f t="shared" si="3"/>
        <v>426</v>
      </c>
      <c r="J50" s="41">
        <f t="shared" si="4"/>
        <v>426</v>
      </c>
      <c r="K50" s="46">
        <f t="shared" si="5"/>
        <v>266350</v>
      </c>
      <c r="L50" s="47">
        <v>350</v>
      </c>
      <c r="M50" s="44"/>
      <c r="N50" s="3" t="str">
        <f t="shared" si="2"/>
        <v>burni pase</v>
      </c>
    </row>
    <row r="51" spans="1:14" s="3" customFormat="1" ht="17.25" customHeight="1" x14ac:dyDescent="0.25">
      <c r="A51" s="37"/>
      <c r="B51" s="45"/>
      <c r="C51" s="16">
        <v>45</v>
      </c>
      <c r="D51" s="53" t="s">
        <v>63</v>
      </c>
      <c r="E51" s="25" t="s">
        <v>16</v>
      </c>
      <c r="F51" s="54">
        <v>12</v>
      </c>
      <c r="G51" s="54">
        <v>1192</v>
      </c>
      <c r="H51" s="54">
        <v>8</v>
      </c>
      <c r="I51" s="41">
        <f t="shared" si="3"/>
        <v>1212</v>
      </c>
      <c r="J51" s="41">
        <f t="shared" si="4"/>
        <v>1212</v>
      </c>
      <c r="K51" s="54">
        <f t="shared" si="5"/>
        <v>834400</v>
      </c>
      <c r="L51" s="47">
        <v>1510</v>
      </c>
      <c r="M51" s="55"/>
      <c r="N51" s="3" t="str">
        <f t="shared" si="2"/>
        <v>wih tenang uken</v>
      </c>
    </row>
    <row r="52" spans="1:14" s="3" customFormat="1" ht="17.25" customHeight="1" x14ac:dyDescent="0.25">
      <c r="A52" s="37"/>
      <c r="B52" s="45"/>
      <c r="C52" s="16">
        <v>46</v>
      </c>
      <c r="D52" s="53" t="s">
        <v>64</v>
      </c>
      <c r="E52" s="25" t="s">
        <v>16</v>
      </c>
      <c r="F52" s="51">
        <v>30</v>
      </c>
      <c r="G52" s="51">
        <v>300</v>
      </c>
      <c r="H52" s="51">
        <v>70</v>
      </c>
      <c r="I52" s="41">
        <f t="shared" si="3"/>
        <v>400</v>
      </c>
      <c r="J52" s="41">
        <f t="shared" si="4"/>
        <v>400</v>
      </c>
      <c r="K52" s="54">
        <f t="shared" si="5"/>
        <v>210000</v>
      </c>
      <c r="L52" s="49">
        <v>860</v>
      </c>
      <c r="M52" s="44"/>
      <c r="N52" s="3" t="str">
        <f t="shared" si="2"/>
        <v>bintang permata</v>
      </c>
    </row>
    <row r="53" spans="1:14" s="3" customFormat="1" ht="17.25" customHeight="1" x14ac:dyDescent="0.25">
      <c r="A53" s="37"/>
      <c r="B53" s="45"/>
      <c r="C53" s="16">
        <v>47</v>
      </c>
      <c r="D53" s="56" t="s">
        <v>65</v>
      </c>
      <c r="E53" s="25" t="s">
        <v>16</v>
      </c>
      <c r="F53" s="40">
        <v>6</v>
      </c>
      <c r="G53" s="40">
        <v>115</v>
      </c>
      <c r="H53" s="40">
        <v>7</v>
      </c>
      <c r="I53" s="41">
        <f t="shared" si="3"/>
        <v>128</v>
      </c>
      <c r="J53" s="41">
        <f t="shared" si="4"/>
        <v>128</v>
      </c>
      <c r="K53" s="40">
        <f t="shared" si="5"/>
        <v>80500</v>
      </c>
      <c r="L53" s="49">
        <v>70</v>
      </c>
      <c r="M53" s="44"/>
      <c r="N53" s="3" t="str">
        <f t="shared" si="2"/>
        <v>uning sejuk</v>
      </c>
    </row>
    <row r="54" spans="1:14" s="3" customFormat="1" ht="17.25" customHeight="1" x14ac:dyDescent="0.25">
      <c r="A54" s="37"/>
      <c r="B54" s="45"/>
      <c r="C54" s="16">
        <v>48</v>
      </c>
      <c r="D54" s="39" t="s">
        <v>66</v>
      </c>
      <c r="E54" s="25" t="s">
        <v>16</v>
      </c>
      <c r="F54" s="40">
        <v>20</v>
      </c>
      <c r="G54" s="40">
        <v>96</v>
      </c>
      <c r="H54" s="40">
        <v>10</v>
      </c>
      <c r="I54" s="41">
        <f t="shared" si="3"/>
        <v>126</v>
      </c>
      <c r="J54" s="41">
        <f t="shared" si="4"/>
        <v>126</v>
      </c>
      <c r="K54" s="40">
        <f t="shared" si="5"/>
        <v>67200</v>
      </c>
      <c r="L54" s="49">
        <v>112</v>
      </c>
      <c r="M54" s="44"/>
      <c r="N54" s="3" t="str">
        <f t="shared" si="2"/>
        <v>wih tenang toa/bakongan baru</v>
      </c>
    </row>
    <row r="55" spans="1:14" s="3" customFormat="1" ht="17.25" customHeight="1" x14ac:dyDescent="0.25">
      <c r="A55" s="37"/>
      <c r="B55" s="45"/>
      <c r="C55" s="16">
        <v>49</v>
      </c>
      <c r="D55" s="39" t="s">
        <v>67</v>
      </c>
      <c r="E55" s="25" t="s">
        <v>16</v>
      </c>
      <c r="F55" s="40">
        <v>12</v>
      </c>
      <c r="G55" s="40">
        <v>360</v>
      </c>
      <c r="H55" s="40">
        <v>10</v>
      </c>
      <c r="I55" s="41">
        <f t="shared" si="3"/>
        <v>382</v>
      </c>
      <c r="J55" s="41">
        <f t="shared" si="4"/>
        <v>382</v>
      </c>
      <c r="K55" s="40">
        <f t="shared" si="5"/>
        <v>252000</v>
      </c>
      <c r="L55" s="49">
        <v>320</v>
      </c>
      <c r="M55" s="44"/>
      <c r="N55" s="3" t="str">
        <f t="shared" si="2"/>
        <v>jelobok</v>
      </c>
    </row>
    <row r="56" spans="1:14" s="3" customFormat="1" ht="17.25" customHeight="1" x14ac:dyDescent="0.25">
      <c r="A56" s="37"/>
      <c r="B56" s="45"/>
      <c r="C56" s="16">
        <v>50</v>
      </c>
      <c r="D56" s="39" t="s">
        <v>68</v>
      </c>
      <c r="E56" s="25" t="s">
        <v>16</v>
      </c>
      <c r="F56" s="40">
        <v>113</v>
      </c>
      <c r="G56" s="40">
        <v>490</v>
      </c>
      <c r="H56" s="40">
        <v>122</v>
      </c>
      <c r="I56" s="41">
        <f t="shared" si="3"/>
        <v>725</v>
      </c>
      <c r="J56" s="41">
        <f t="shared" si="4"/>
        <v>725</v>
      </c>
      <c r="K56" s="40">
        <f>700*G56</f>
        <v>343000</v>
      </c>
      <c r="L56" s="49">
        <v>452</v>
      </c>
      <c r="M56" s="44"/>
      <c r="N56" s="3" t="str">
        <f t="shared" si="2"/>
        <v>penosan jaya</v>
      </c>
    </row>
    <row r="57" spans="1:14" s="3" customFormat="1" ht="17.25" customHeight="1" x14ac:dyDescent="0.25">
      <c r="A57" s="37"/>
      <c r="B57" s="45"/>
      <c r="C57" s="16">
        <v>51</v>
      </c>
      <c r="D57" s="50" t="s">
        <v>69</v>
      </c>
      <c r="E57" s="25" t="s">
        <v>16</v>
      </c>
      <c r="F57" s="51">
        <v>5</v>
      </c>
      <c r="G57" s="51">
        <v>250</v>
      </c>
      <c r="H57" s="51">
        <v>15.5</v>
      </c>
      <c r="I57" s="41">
        <f t="shared" si="3"/>
        <v>270.5</v>
      </c>
      <c r="J57" s="41">
        <f t="shared" si="4"/>
        <v>270.5</v>
      </c>
      <c r="K57" s="51">
        <f>700*G57</f>
        <v>175000</v>
      </c>
      <c r="L57" s="49">
        <v>372</v>
      </c>
      <c r="M57" s="44"/>
      <c r="N57" s="3" t="str">
        <f t="shared" si="2"/>
        <v>bener pepanyi</v>
      </c>
    </row>
    <row r="58" spans="1:14" s="3" customFormat="1" ht="17.25" customHeight="1" x14ac:dyDescent="0.25">
      <c r="A58" s="37"/>
      <c r="B58" s="45"/>
      <c r="C58" s="16">
        <v>52</v>
      </c>
      <c r="D58" s="50" t="s">
        <v>70</v>
      </c>
      <c r="E58" s="25" t="s">
        <v>16</v>
      </c>
      <c r="F58" s="51">
        <v>47</v>
      </c>
      <c r="G58" s="51">
        <v>488</v>
      </c>
      <c r="H58" s="51">
        <v>73</v>
      </c>
      <c r="I58" s="41">
        <f t="shared" si="3"/>
        <v>608</v>
      </c>
      <c r="J58" s="41">
        <f t="shared" si="4"/>
        <v>608</v>
      </c>
      <c r="K58" s="51">
        <f>700*G58</f>
        <v>341600</v>
      </c>
      <c r="L58" s="49">
        <v>443</v>
      </c>
      <c r="M58" s="44"/>
      <c r="N58" s="3" t="str">
        <f t="shared" si="2"/>
        <v>bintang bener</v>
      </c>
    </row>
    <row r="59" spans="1:14" s="3" customFormat="1" ht="17.25" customHeight="1" x14ac:dyDescent="0.25">
      <c r="A59" s="37"/>
      <c r="B59" s="45"/>
      <c r="C59" s="16">
        <v>53</v>
      </c>
      <c r="D59" s="52" t="s">
        <v>71</v>
      </c>
      <c r="E59" s="25" t="s">
        <v>16</v>
      </c>
      <c r="F59" s="40">
        <v>9</v>
      </c>
      <c r="G59" s="40">
        <v>56</v>
      </c>
      <c r="H59" s="40">
        <v>37</v>
      </c>
      <c r="I59" s="41">
        <f t="shared" si="3"/>
        <v>102</v>
      </c>
      <c r="J59" s="41">
        <f t="shared" si="4"/>
        <v>102</v>
      </c>
      <c r="K59" s="40">
        <f>700*G59</f>
        <v>39200</v>
      </c>
      <c r="L59" s="49">
        <v>156</v>
      </c>
      <c r="M59" s="44"/>
      <c r="N59" s="3" t="str">
        <f t="shared" si="2"/>
        <v>pemango</v>
      </c>
    </row>
    <row r="60" spans="1:14" s="3" customFormat="1" ht="17.25" customHeight="1" x14ac:dyDescent="0.25">
      <c r="A60" s="37"/>
      <c r="B60" s="45"/>
      <c r="C60" s="16">
        <v>54</v>
      </c>
      <c r="D60" s="52" t="s">
        <v>72</v>
      </c>
      <c r="E60" s="25" t="s">
        <v>16</v>
      </c>
      <c r="F60" s="40">
        <v>8.1</v>
      </c>
      <c r="G60" s="40">
        <v>121.6</v>
      </c>
      <c r="H60" s="40">
        <v>32.4</v>
      </c>
      <c r="I60" s="41">
        <f t="shared" si="3"/>
        <v>162.1</v>
      </c>
      <c r="J60" s="41">
        <f t="shared" si="4"/>
        <v>162.1</v>
      </c>
      <c r="K60" s="40">
        <f t="shared" ref="K60:K61" si="6">700*G60</f>
        <v>85120</v>
      </c>
      <c r="L60" s="49">
        <v>547</v>
      </c>
      <c r="M60" s="44"/>
      <c r="N60" s="3" t="str">
        <f t="shared" si="2"/>
        <v>gelampang wih tenang uken</v>
      </c>
    </row>
    <row r="61" spans="1:14" s="3" customFormat="1" ht="17.25" customHeight="1" x14ac:dyDescent="0.25">
      <c r="A61" s="37"/>
      <c r="B61" s="45"/>
      <c r="C61" s="16">
        <v>55</v>
      </c>
      <c r="D61" s="52" t="s">
        <v>73</v>
      </c>
      <c r="E61" s="25" t="s">
        <v>16</v>
      </c>
      <c r="F61" s="40">
        <v>37</v>
      </c>
      <c r="G61" s="40">
        <v>253</v>
      </c>
      <c r="H61" s="40">
        <v>75</v>
      </c>
      <c r="I61" s="41">
        <f t="shared" si="3"/>
        <v>365</v>
      </c>
      <c r="J61" s="41">
        <f t="shared" si="4"/>
        <v>365</v>
      </c>
      <c r="K61" s="40">
        <f t="shared" si="6"/>
        <v>177100</v>
      </c>
      <c r="L61" s="49">
        <v>75</v>
      </c>
      <c r="M61" s="44"/>
      <c r="N61" s="3" t="str">
        <f t="shared" si="2"/>
        <v>bale purnama</v>
      </c>
    </row>
    <row r="62" spans="1:14" s="3" customFormat="1" ht="17.25" customHeight="1" x14ac:dyDescent="0.25">
      <c r="A62" s="37"/>
      <c r="B62" s="45"/>
      <c r="C62" s="16">
        <v>56</v>
      </c>
      <c r="D62" s="53" t="s">
        <v>74</v>
      </c>
      <c r="E62" s="25" t="s">
        <v>16</v>
      </c>
      <c r="F62" s="51">
        <v>200</v>
      </c>
      <c r="G62" s="51">
        <v>500</v>
      </c>
      <c r="H62" s="51">
        <v>50</v>
      </c>
      <c r="I62" s="41">
        <f t="shared" si="3"/>
        <v>750</v>
      </c>
      <c r="J62" s="41">
        <f t="shared" si="4"/>
        <v>750</v>
      </c>
      <c r="K62" s="51">
        <f>700*G62</f>
        <v>350000</v>
      </c>
      <c r="L62" s="49">
        <v>500</v>
      </c>
      <c r="M62" s="44"/>
      <c r="N62" s="3" t="str">
        <f t="shared" si="2"/>
        <v>temas mumanang</v>
      </c>
    </row>
    <row r="63" spans="1:14" s="3" customFormat="1" ht="17.25" customHeight="1" x14ac:dyDescent="0.25">
      <c r="A63" s="37"/>
      <c r="B63" s="45"/>
      <c r="C63" s="16">
        <v>57</v>
      </c>
      <c r="D63" s="53" t="s">
        <v>75</v>
      </c>
      <c r="E63" s="25" t="s">
        <v>16</v>
      </c>
      <c r="F63" s="51">
        <v>10</v>
      </c>
      <c r="G63" s="51">
        <v>151</v>
      </c>
      <c r="H63" s="51">
        <v>20</v>
      </c>
      <c r="I63" s="41">
        <f t="shared" si="3"/>
        <v>181</v>
      </c>
      <c r="J63" s="41">
        <f t="shared" si="4"/>
        <v>181</v>
      </c>
      <c r="K63" s="51">
        <f>700*G63</f>
        <v>105700</v>
      </c>
      <c r="L63" s="49">
        <v>200</v>
      </c>
      <c r="M63" s="44"/>
      <c r="N63" s="3" t="str">
        <f t="shared" si="2"/>
        <v>tawar bengi</v>
      </c>
    </row>
    <row r="64" spans="1:14" ht="17.25" customHeight="1" x14ac:dyDescent="0.25">
      <c r="A64" s="131" t="s">
        <v>46</v>
      </c>
      <c r="B64" s="132"/>
      <c r="C64" s="132"/>
      <c r="D64" s="132"/>
      <c r="E64" s="31"/>
      <c r="F64" s="32">
        <f>SUM(F37:F63)</f>
        <v>1058.0999999999999</v>
      </c>
      <c r="G64" s="32">
        <f t="shared" ref="G64:L64" si="7">SUM(G37:G63)</f>
        <v>8760.2000000000007</v>
      </c>
      <c r="H64" s="32">
        <f t="shared" si="7"/>
        <v>1457.4</v>
      </c>
      <c r="I64" s="32"/>
      <c r="J64" s="33">
        <f t="shared" si="7"/>
        <v>11275.7</v>
      </c>
      <c r="K64" s="32">
        <f>SUM(K37:K63)</f>
        <v>6132140</v>
      </c>
      <c r="L64" s="32">
        <f t="shared" si="7"/>
        <v>10612</v>
      </c>
      <c r="M64" s="34"/>
    </row>
    <row r="65" spans="1:13" ht="17.25" customHeight="1" x14ac:dyDescent="0.25">
      <c r="A65" s="37" t="s">
        <v>76</v>
      </c>
      <c r="B65" s="38" t="s">
        <v>77</v>
      </c>
      <c r="C65" s="16">
        <v>58</v>
      </c>
      <c r="D65" s="57" t="s">
        <v>78</v>
      </c>
      <c r="E65" s="25" t="s">
        <v>16</v>
      </c>
      <c r="F65" s="58">
        <v>4</v>
      </c>
      <c r="G65" s="58">
        <v>395</v>
      </c>
      <c r="H65" s="58">
        <v>2</v>
      </c>
      <c r="I65" s="58"/>
      <c r="J65" s="40">
        <f>SUM(F65:H65)</f>
        <v>401</v>
      </c>
      <c r="K65" s="40">
        <f>750*G65</f>
        <v>296250</v>
      </c>
      <c r="L65" s="59">
        <v>225</v>
      </c>
      <c r="M65" s="60"/>
    </row>
    <row r="66" spans="1:13" ht="17.25" customHeight="1" x14ac:dyDescent="0.25">
      <c r="A66" s="37"/>
      <c r="B66" s="45"/>
      <c r="C66" s="16">
        <v>59</v>
      </c>
      <c r="D66" s="57" t="s">
        <v>79</v>
      </c>
      <c r="E66" s="25" t="s">
        <v>16</v>
      </c>
      <c r="F66" s="58">
        <v>6</v>
      </c>
      <c r="G66" s="58">
        <v>197</v>
      </c>
      <c r="H66" s="58">
        <v>12</v>
      </c>
      <c r="I66" s="58"/>
      <c r="J66" s="40">
        <f t="shared" ref="J66:J79" si="8">SUM(F66:H66)</f>
        <v>215</v>
      </c>
      <c r="K66" s="40">
        <f t="shared" ref="K66:K79" si="9">750*G66</f>
        <v>147750</v>
      </c>
      <c r="L66" s="59">
        <v>160</v>
      </c>
      <c r="M66" s="60"/>
    </row>
    <row r="67" spans="1:13" ht="17.25" customHeight="1" x14ac:dyDescent="0.25">
      <c r="A67" s="37"/>
      <c r="B67" s="45"/>
      <c r="C67" s="16">
        <v>60</v>
      </c>
      <c r="D67" s="57" t="s">
        <v>80</v>
      </c>
      <c r="E67" s="25" t="s">
        <v>16</v>
      </c>
      <c r="F67" s="58">
        <v>6</v>
      </c>
      <c r="G67" s="58">
        <v>297</v>
      </c>
      <c r="H67" s="58">
        <v>8</v>
      </c>
      <c r="I67" s="58"/>
      <c r="J67" s="40">
        <f t="shared" si="8"/>
        <v>311</v>
      </c>
      <c r="K67" s="40">
        <f t="shared" si="9"/>
        <v>222750</v>
      </c>
      <c r="L67" s="59">
        <v>180</v>
      </c>
      <c r="M67" s="60"/>
    </row>
    <row r="68" spans="1:13" ht="17.25" customHeight="1" x14ac:dyDescent="0.25">
      <c r="A68" s="37"/>
      <c r="B68" s="45"/>
      <c r="C68" s="16">
        <v>61</v>
      </c>
      <c r="D68" s="61" t="s">
        <v>81</v>
      </c>
      <c r="E68" s="25" t="s">
        <v>16</v>
      </c>
      <c r="F68" s="58">
        <v>8</v>
      </c>
      <c r="G68" s="58">
        <v>358</v>
      </c>
      <c r="H68" s="58">
        <v>20</v>
      </c>
      <c r="I68" s="58"/>
      <c r="J68" s="40">
        <f t="shared" si="8"/>
        <v>386</v>
      </c>
      <c r="K68" s="40">
        <f t="shared" si="9"/>
        <v>268500</v>
      </c>
      <c r="L68" s="59">
        <v>182</v>
      </c>
      <c r="M68" s="60"/>
    </row>
    <row r="69" spans="1:13" ht="17.25" customHeight="1" x14ac:dyDescent="0.25">
      <c r="A69" s="37"/>
      <c r="B69" s="45"/>
      <c r="C69" s="16">
        <v>62</v>
      </c>
      <c r="D69" s="61" t="s">
        <v>82</v>
      </c>
      <c r="E69" s="25" t="s">
        <v>16</v>
      </c>
      <c r="F69" s="58">
        <v>7</v>
      </c>
      <c r="G69" s="58">
        <v>222</v>
      </c>
      <c r="H69" s="58">
        <v>8</v>
      </c>
      <c r="I69" s="58"/>
      <c r="J69" s="40">
        <f t="shared" si="8"/>
        <v>237</v>
      </c>
      <c r="K69" s="40">
        <f t="shared" si="9"/>
        <v>166500</v>
      </c>
      <c r="L69" s="59">
        <v>243</v>
      </c>
      <c r="M69" s="60"/>
    </row>
    <row r="70" spans="1:13" ht="17.25" customHeight="1" x14ac:dyDescent="0.25">
      <c r="A70" s="37"/>
      <c r="B70" s="45"/>
      <c r="C70" s="16">
        <v>63</v>
      </c>
      <c r="D70" s="61" t="s">
        <v>83</v>
      </c>
      <c r="E70" s="25" t="s">
        <v>16</v>
      </c>
      <c r="F70" s="58">
        <v>2</v>
      </c>
      <c r="G70" s="58">
        <v>111</v>
      </c>
      <c r="H70" s="58">
        <v>10</v>
      </c>
      <c r="I70" s="58"/>
      <c r="J70" s="40">
        <f t="shared" si="8"/>
        <v>123</v>
      </c>
      <c r="K70" s="40">
        <f t="shared" si="9"/>
        <v>83250</v>
      </c>
      <c r="L70" s="59">
        <v>205</v>
      </c>
      <c r="M70" s="60"/>
    </row>
    <row r="71" spans="1:13" ht="17.25" customHeight="1" x14ac:dyDescent="0.25">
      <c r="A71" s="37"/>
      <c r="B71" s="45"/>
      <c r="C71" s="16">
        <v>64</v>
      </c>
      <c r="D71" s="61" t="s">
        <v>84</v>
      </c>
      <c r="E71" s="25" t="s">
        <v>16</v>
      </c>
      <c r="F71" s="58">
        <v>12</v>
      </c>
      <c r="G71" s="58">
        <v>407</v>
      </c>
      <c r="H71" s="58">
        <v>32</v>
      </c>
      <c r="I71" s="58"/>
      <c r="J71" s="40">
        <f t="shared" si="8"/>
        <v>451</v>
      </c>
      <c r="K71" s="40">
        <f t="shared" si="9"/>
        <v>305250</v>
      </c>
      <c r="L71" s="59">
        <v>145</v>
      </c>
      <c r="M71" s="60"/>
    </row>
    <row r="72" spans="1:13" ht="17.25" customHeight="1" x14ac:dyDescent="0.25">
      <c r="A72" s="37"/>
      <c r="B72" s="45"/>
      <c r="C72" s="16">
        <v>65</v>
      </c>
      <c r="D72" s="62" t="s">
        <v>85</v>
      </c>
      <c r="E72" s="25" t="s">
        <v>16</v>
      </c>
      <c r="F72" s="58">
        <v>6</v>
      </c>
      <c r="G72" s="58">
        <v>207</v>
      </c>
      <c r="H72" s="58">
        <v>15</v>
      </c>
      <c r="I72" s="58"/>
      <c r="J72" s="40">
        <f t="shared" si="8"/>
        <v>228</v>
      </c>
      <c r="K72" s="40">
        <f t="shared" si="9"/>
        <v>155250</v>
      </c>
      <c r="L72" s="59">
        <v>297</v>
      </c>
      <c r="M72" s="60"/>
    </row>
    <row r="73" spans="1:13" ht="17.25" customHeight="1" x14ac:dyDescent="0.25">
      <c r="A73" s="37"/>
      <c r="B73" s="45"/>
      <c r="C73" s="16">
        <v>66</v>
      </c>
      <c r="D73" s="62" t="s">
        <v>86</v>
      </c>
      <c r="E73" s="25" t="s">
        <v>16</v>
      </c>
      <c r="F73" s="58">
        <v>7</v>
      </c>
      <c r="G73" s="58">
        <v>199</v>
      </c>
      <c r="H73" s="58">
        <v>5</v>
      </c>
      <c r="I73" s="58"/>
      <c r="J73" s="40">
        <f t="shared" si="8"/>
        <v>211</v>
      </c>
      <c r="K73" s="40">
        <f t="shared" si="9"/>
        <v>149250</v>
      </c>
      <c r="L73" s="59">
        <v>122</v>
      </c>
      <c r="M73" s="60"/>
    </row>
    <row r="74" spans="1:13" ht="17.25" customHeight="1" x14ac:dyDescent="0.25">
      <c r="A74" s="37"/>
      <c r="B74" s="45"/>
      <c r="C74" s="16">
        <v>67</v>
      </c>
      <c r="D74" s="62" t="s">
        <v>87</v>
      </c>
      <c r="E74" s="25" t="s">
        <v>16</v>
      </c>
      <c r="F74" s="58">
        <v>5</v>
      </c>
      <c r="G74" s="58">
        <v>243</v>
      </c>
      <c r="H74" s="58">
        <v>5</v>
      </c>
      <c r="I74" s="58"/>
      <c r="J74" s="40">
        <f t="shared" si="8"/>
        <v>253</v>
      </c>
      <c r="K74" s="40">
        <f t="shared" si="9"/>
        <v>182250</v>
      </c>
      <c r="L74" s="59">
        <v>114</v>
      </c>
      <c r="M74" s="60"/>
    </row>
    <row r="75" spans="1:13" ht="17.25" customHeight="1" x14ac:dyDescent="0.25">
      <c r="A75" s="37"/>
      <c r="B75" s="45"/>
      <c r="C75" s="16">
        <v>68</v>
      </c>
      <c r="D75" s="62" t="s">
        <v>88</v>
      </c>
      <c r="E75" s="25" t="s">
        <v>16</v>
      </c>
      <c r="F75" s="58">
        <v>8</v>
      </c>
      <c r="G75" s="58">
        <v>485</v>
      </c>
      <c r="H75" s="58">
        <v>7</v>
      </c>
      <c r="I75" s="58"/>
      <c r="J75" s="40">
        <f t="shared" si="8"/>
        <v>500</v>
      </c>
      <c r="K75" s="40">
        <f t="shared" si="9"/>
        <v>363750</v>
      </c>
      <c r="L75" s="59">
        <v>250</v>
      </c>
      <c r="M75" s="60"/>
    </row>
    <row r="76" spans="1:13" ht="17.25" customHeight="1" x14ac:dyDescent="0.25">
      <c r="A76" s="37"/>
      <c r="B76" s="45"/>
      <c r="C76" s="16">
        <v>69</v>
      </c>
      <c r="D76" s="62" t="s">
        <v>89</v>
      </c>
      <c r="E76" s="25" t="s">
        <v>16</v>
      </c>
      <c r="F76" s="58">
        <v>9</v>
      </c>
      <c r="G76" s="58">
        <v>304</v>
      </c>
      <c r="H76" s="58">
        <v>7</v>
      </c>
      <c r="I76" s="58"/>
      <c r="J76" s="40">
        <f t="shared" si="8"/>
        <v>320</v>
      </c>
      <c r="K76" s="40">
        <f t="shared" si="9"/>
        <v>228000</v>
      </c>
      <c r="L76" s="59">
        <v>207</v>
      </c>
      <c r="M76" s="60"/>
    </row>
    <row r="77" spans="1:13" ht="17.25" customHeight="1" x14ac:dyDescent="0.25">
      <c r="A77" s="37"/>
      <c r="B77" s="45"/>
      <c r="C77" s="16">
        <v>70</v>
      </c>
      <c r="D77" s="57" t="s">
        <v>90</v>
      </c>
      <c r="E77" s="25" t="s">
        <v>16</v>
      </c>
      <c r="F77" s="58">
        <v>8</v>
      </c>
      <c r="G77" s="58">
        <v>412</v>
      </c>
      <c r="H77" s="58">
        <v>12</v>
      </c>
      <c r="I77" s="58"/>
      <c r="J77" s="40">
        <f t="shared" si="8"/>
        <v>432</v>
      </c>
      <c r="K77" s="40">
        <f t="shared" si="9"/>
        <v>309000</v>
      </c>
      <c r="L77" s="59">
        <v>225</v>
      </c>
      <c r="M77" s="60"/>
    </row>
    <row r="78" spans="1:13" ht="17.25" customHeight="1" x14ac:dyDescent="0.25">
      <c r="A78" s="37"/>
      <c r="B78" s="45"/>
      <c r="C78" s="16">
        <v>71</v>
      </c>
      <c r="D78" s="63" t="s">
        <v>91</v>
      </c>
      <c r="E78" s="25" t="s">
        <v>16</v>
      </c>
      <c r="F78" s="58">
        <v>15</v>
      </c>
      <c r="G78" s="64">
        <v>202</v>
      </c>
      <c r="H78" s="58">
        <v>7</v>
      </c>
      <c r="I78" s="58"/>
      <c r="J78" s="40">
        <f t="shared" si="8"/>
        <v>224</v>
      </c>
      <c r="K78" s="40">
        <f t="shared" si="9"/>
        <v>151500</v>
      </c>
      <c r="L78" s="59">
        <v>170</v>
      </c>
      <c r="M78" s="60"/>
    </row>
    <row r="79" spans="1:13" ht="17.25" customHeight="1" x14ac:dyDescent="0.25">
      <c r="A79" s="37"/>
      <c r="B79" s="45"/>
      <c r="C79" s="16">
        <v>72</v>
      </c>
      <c r="D79" s="57" t="s">
        <v>92</v>
      </c>
      <c r="E79" s="25" t="s">
        <v>16</v>
      </c>
      <c r="F79" s="58">
        <v>15</v>
      </c>
      <c r="G79" s="65">
        <v>343</v>
      </c>
      <c r="H79" s="58">
        <v>8</v>
      </c>
      <c r="I79" s="58"/>
      <c r="J79" s="40">
        <f t="shared" si="8"/>
        <v>366</v>
      </c>
      <c r="K79" s="40">
        <f t="shared" si="9"/>
        <v>257250</v>
      </c>
      <c r="L79" s="59">
        <v>278</v>
      </c>
      <c r="M79" s="60"/>
    </row>
    <row r="80" spans="1:13" ht="17.25" customHeight="1" x14ac:dyDescent="0.25">
      <c r="A80" s="131" t="s">
        <v>46</v>
      </c>
      <c r="B80" s="132"/>
      <c r="C80" s="132"/>
      <c r="D80" s="132"/>
      <c r="E80" s="31"/>
      <c r="F80" s="32">
        <f>SUM(F65:F79)</f>
        <v>118</v>
      </c>
      <c r="G80" s="32">
        <f t="shared" ref="G80:H80" si="10">SUM(G65:G79)</f>
        <v>4382</v>
      </c>
      <c r="H80" s="32">
        <f t="shared" si="10"/>
        <v>158</v>
      </c>
      <c r="I80" s="32"/>
      <c r="J80" s="33">
        <f>SUM(J65:J79)</f>
        <v>4658</v>
      </c>
      <c r="K80" s="32">
        <f>SUM(K65:K79)</f>
        <v>3286500</v>
      </c>
      <c r="L80" s="32">
        <f>SUM(L65:L79)</f>
        <v>3003</v>
      </c>
      <c r="M80" s="34"/>
    </row>
    <row r="81" spans="1:13" ht="17.25" customHeight="1" x14ac:dyDescent="0.25">
      <c r="A81" s="37" t="s">
        <v>93</v>
      </c>
      <c r="B81" s="38" t="s">
        <v>94</v>
      </c>
      <c r="C81" s="16">
        <v>73</v>
      </c>
      <c r="D81" s="66" t="s">
        <v>95</v>
      </c>
      <c r="E81" s="25" t="s">
        <v>16</v>
      </c>
      <c r="F81" s="67">
        <v>3</v>
      </c>
      <c r="G81" s="68">
        <v>9</v>
      </c>
      <c r="H81" s="69" t="s">
        <v>96</v>
      </c>
      <c r="I81" s="69"/>
      <c r="J81" s="40">
        <f>SUM(F81:H81)</f>
        <v>12</v>
      </c>
      <c r="K81" s="40">
        <v>4200</v>
      </c>
      <c r="L81" s="70">
        <v>72</v>
      </c>
      <c r="M81" s="60"/>
    </row>
    <row r="82" spans="1:13" ht="17.25" customHeight="1" x14ac:dyDescent="0.25">
      <c r="A82" s="37"/>
      <c r="B82" s="45"/>
      <c r="C82" s="16">
        <v>74</v>
      </c>
      <c r="D82" s="71" t="s">
        <v>97</v>
      </c>
      <c r="E82" s="25" t="s">
        <v>16</v>
      </c>
      <c r="F82" s="19">
        <v>2</v>
      </c>
      <c r="G82" s="72">
        <v>10</v>
      </c>
      <c r="H82" s="19">
        <v>3</v>
      </c>
      <c r="I82" s="19"/>
      <c r="J82" s="40">
        <f t="shared" ref="J82:J106" si="11">SUM(F82:H82)</f>
        <v>15</v>
      </c>
      <c r="K82" s="40">
        <v>4800</v>
      </c>
      <c r="L82" s="20">
        <v>25</v>
      </c>
      <c r="M82" s="60"/>
    </row>
    <row r="83" spans="1:13" ht="17.25" customHeight="1" x14ac:dyDescent="0.25">
      <c r="A83" s="37"/>
      <c r="B83" s="45"/>
      <c r="C83" s="16">
        <v>75</v>
      </c>
      <c r="D83" s="71" t="s">
        <v>98</v>
      </c>
      <c r="E83" s="25" t="s">
        <v>16</v>
      </c>
      <c r="F83" s="19">
        <v>4</v>
      </c>
      <c r="G83" s="72">
        <v>59</v>
      </c>
      <c r="H83" s="19">
        <v>11</v>
      </c>
      <c r="I83" s="19"/>
      <c r="J83" s="40">
        <f t="shared" si="11"/>
        <v>74</v>
      </c>
      <c r="K83" s="40">
        <v>39900</v>
      </c>
      <c r="L83" s="20">
        <v>177</v>
      </c>
      <c r="M83" s="60"/>
    </row>
    <row r="84" spans="1:13" ht="17.25" customHeight="1" x14ac:dyDescent="0.25">
      <c r="A84" s="37"/>
      <c r="B84" s="45"/>
      <c r="C84" s="16">
        <v>76</v>
      </c>
      <c r="D84" s="71" t="s">
        <v>99</v>
      </c>
      <c r="E84" s="25" t="s">
        <v>16</v>
      </c>
      <c r="F84" s="19">
        <v>4</v>
      </c>
      <c r="G84" s="72">
        <v>39</v>
      </c>
      <c r="H84" s="73" t="s">
        <v>96</v>
      </c>
      <c r="I84" s="73"/>
      <c r="J84" s="40">
        <f t="shared" si="11"/>
        <v>43</v>
      </c>
      <c r="K84" s="40">
        <v>25900</v>
      </c>
      <c r="L84" s="20">
        <v>178</v>
      </c>
      <c r="M84" s="60"/>
    </row>
    <row r="85" spans="1:13" ht="17.25" customHeight="1" x14ac:dyDescent="0.25">
      <c r="A85" s="37"/>
      <c r="B85" s="45"/>
      <c r="C85" s="16">
        <v>77</v>
      </c>
      <c r="D85" s="71" t="s">
        <v>100</v>
      </c>
      <c r="E85" s="25" t="s">
        <v>16</v>
      </c>
      <c r="F85" s="19">
        <v>0</v>
      </c>
      <c r="G85" s="72">
        <v>184</v>
      </c>
      <c r="H85" s="19">
        <v>13</v>
      </c>
      <c r="I85" s="19"/>
      <c r="J85" s="40">
        <f t="shared" si="11"/>
        <v>197</v>
      </c>
      <c r="K85" s="40">
        <v>128100</v>
      </c>
      <c r="L85" s="20">
        <v>106</v>
      </c>
      <c r="M85" s="60"/>
    </row>
    <row r="86" spans="1:13" ht="17.25" customHeight="1" x14ac:dyDescent="0.25">
      <c r="A86" s="37"/>
      <c r="B86" s="45"/>
      <c r="C86" s="16">
        <v>78</v>
      </c>
      <c r="D86" s="71" t="s">
        <v>101</v>
      </c>
      <c r="E86" s="25" t="s">
        <v>16</v>
      </c>
      <c r="F86" s="19">
        <v>1.94</v>
      </c>
      <c r="G86" s="74">
        <v>18.190000000000001</v>
      </c>
      <c r="H86" s="19">
        <v>13.3</v>
      </c>
      <c r="I86" s="19"/>
      <c r="J86" s="40">
        <f t="shared" si="11"/>
        <v>33.430000000000007</v>
      </c>
      <c r="K86" s="40">
        <v>11333</v>
      </c>
      <c r="L86" s="20">
        <v>64</v>
      </c>
      <c r="M86" s="60"/>
    </row>
    <row r="87" spans="1:13" ht="17.25" customHeight="1" x14ac:dyDescent="0.25">
      <c r="A87" s="37"/>
      <c r="B87" s="45"/>
      <c r="C87" s="16">
        <v>79</v>
      </c>
      <c r="D87" s="71" t="s">
        <v>102</v>
      </c>
      <c r="E87" s="25" t="s">
        <v>16</v>
      </c>
      <c r="F87" s="19">
        <v>41</v>
      </c>
      <c r="G87" s="72">
        <v>62</v>
      </c>
      <c r="H87" s="19">
        <v>4</v>
      </c>
      <c r="I87" s="19"/>
      <c r="J87" s="40">
        <f t="shared" si="11"/>
        <v>107</v>
      </c>
      <c r="K87" s="40">
        <v>42700</v>
      </c>
      <c r="L87" s="20">
        <v>449</v>
      </c>
      <c r="M87" s="60"/>
    </row>
    <row r="88" spans="1:13" ht="17.25" customHeight="1" x14ac:dyDescent="0.25">
      <c r="A88" s="37"/>
      <c r="B88" s="45"/>
      <c r="C88" s="16">
        <v>80</v>
      </c>
      <c r="D88" s="71" t="s">
        <v>103</v>
      </c>
      <c r="E88" s="25" t="s">
        <v>16</v>
      </c>
      <c r="F88" s="19">
        <v>20.5</v>
      </c>
      <c r="G88" s="72">
        <v>46</v>
      </c>
      <c r="H88" s="19">
        <v>36.200000000000003</v>
      </c>
      <c r="I88" s="19"/>
      <c r="J88" s="40">
        <f t="shared" si="11"/>
        <v>102.7</v>
      </c>
      <c r="K88" s="40">
        <v>35200</v>
      </c>
      <c r="L88" s="20">
        <v>229</v>
      </c>
      <c r="M88" s="60"/>
    </row>
    <row r="89" spans="1:13" ht="17.25" customHeight="1" x14ac:dyDescent="0.25">
      <c r="A89" s="37"/>
      <c r="B89" s="45"/>
      <c r="C89" s="16">
        <v>81</v>
      </c>
      <c r="D89" s="71" t="s">
        <v>104</v>
      </c>
      <c r="E89" s="25" t="s">
        <v>16</v>
      </c>
      <c r="F89" s="19">
        <v>6.375</v>
      </c>
      <c r="G89" s="72">
        <v>158.125</v>
      </c>
      <c r="H89" s="19">
        <v>23.375</v>
      </c>
      <c r="I89" s="19"/>
      <c r="J89" s="40">
        <f t="shared" si="11"/>
        <v>187.875</v>
      </c>
      <c r="K89" s="40">
        <v>141412.5</v>
      </c>
      <c r="L89" s="20">
        <v>233</v>
      </c>
      <c r="M89" s="60"/>
    </row>
    <row r="90" spans="1:13" ht="17.25" customHeight="1" x14ac:dyDescent="0.25">
      <c r="A90" s="37"/>
      <c r="B90" s="45"/>
      <c r="C90" s="16">
        <v>82</v>
      </c>
      <c r="D90" s="71" t="s">
        <v>105</v>
      </c>
      <c r="E90" s="25" t="s">
        <v>16</v>
      </c>
      <c r="F90" s="73" t="s">
        <v>96</v>
      </c>
      <c r="G90" s="72">
        <v>177.5</v>
      </c>
      <c r="H90" s="19">
        <v>1.5</v>
      </c>
      <c r="I90" s="19"/>
      <c r="J90" s="40">
        <f t="shared" si="11"/>
        <v>179</v>
      </c>
      <c r="K90" s="40">
        <v>123550</v>
      </c>
      <c r="L90" s="20">
        <v>145</v>
      </c>
      <c r="M90" s="60"/>
    </row>
    <row r="91" spans="1:13" ht="17.25" customHeight="1" x14ac:dyDescent="0.25">
      <c r="A91" s="37"/>
      <c r="B91" s="45"/>
      <c r="C91" s="16">
        <v>83</v>
      </c>
      <c r="D91" s="71" t="s">
        <v>106</v>
      </c>
      <c r="E91" s="25" t="s">
        <v>16</v>
      </c>
      <c r="F91" s="19">
        <v>3.5</v>
      </c>
      <c r="G91" s="72">
        <v>14.5</v>
      </c>
      <c r="H91" s="73" t="s">
        <v>96</v>
      </c>
      <c r="I91" s="73"/>
      <c r="J91" s="40">
        <f t="shared" si="11"/>
        <v>18</v>
      </c>
      <c r="K91" s="40">
        <v>11250</v>
      </c>
      <c r="L91" s="20">
        <v>386</v>
      </c>
      <c r="M91" s="60"/>
    </row>
    <row r="92" spans="1:13" ht="17.25" customHeight="1" x14ac:dyDescent="0.25">
      <c r="A92" s="37"/>
      <c r="B92" s="45"/>
      <c r="C92" s="16">
        <v>84</v>
      </c>
      <c r="D92" s="75" t="s">
        <v>107</v>
      </c>
      <c r="E92" s="25" t="s">
        <v>16</v>
      </c>
      <c r="F92" s="19">
        <v>7</v>
      </c>
      <c r="G92" s="72">
        <v>303</v>
      </c>
      <c r="H92" s="19">
        <v>22</v>
      </c>
      <c r="I92" s="19"/>
      <c r="J92" s="40">
        <f t="shared" si="11"/>
        <v>332</v>
      </c>
      <c r="K92" s="40">
        <v>211400</v>
      </c>
      <c r="L92" s="20">
        <v>202</v>
      </c>
      <c r="M92" s="60"/>
    </row>
    <row r="93" spans="1:13" ht="17.25" customHeight="1" x14ac:dyDescent="0.25">
      <c r="A93" s="37"/>
      <c r="B93" s="45"/>
      <c r="C93" s="16">
        <v>85</v>
      </c>
      <c r="D93" s="71" t="s">
        <v>108</v>
      </c>
      <c r="E93" s="25" t="s">
        <v>16</v>
      </c>
      <c r="F93" s="73" t="s">
        <v>96</v>
      </c>
      <c r="G93" s="74">
        <v>128</v>
      </c>
      <c r="H93" s="73" t="s">
        <v>96</v>
      </c>
      <c r="I93" s="73"/>
      <c r="J93" s="40">
        <f t="shared" si="11"/>
        <v>128</v>
      </c>
      <c r="K93" s="40">
        <v>76200</v>
      </c>
      <c r="L93" s="20">
        <v>174</v>
      </c>
      <c r="M93" s="60"/>
    </row>
    <row r="94" spans="1:13" ht="17.25" customHeight="1" x14ac:dyDescent="0.25">
      <c r="A94" s="37"/>
      <c r="B94" s="45"/>
      <c r="C94" s="16">
        <v>86</v>
      </c>
      <c r="D94" s="71" t="s">
        <v>109</v>
      </c>
      <c r="E94" s="25" t="s">
        <v>16</v>
      </c>
      <c r="F94" s="19">
        <v>6.5</v>
      </c>
      <c r="G94" s="74">
        <v>29.5</v>
      </c>
      <c r="H94" s="19">
        <v>7</v>
      </c>
      <c r="I94" s="19"/>
      <c r="J94" s="40">
        <f t="shared" si="11"/>
        <v>43</v>
      </c>
      <c r="K94" s="40">
        <v>16500</v>
      </c>
      <c r="L94" s="20">
        <v>78</v>
      </c>
      <c r="M94" s="60"/>
    </row>
    <row r="95" spans="1:13" ht="17.25" customHeight="1" x14ac:dyDescent="0.25">
      <c r="A95" s="37"/>
      <c r="B95" s="45"/>
      <c r="C95" s="16">
        <v>87</v>
      </c>
      <c r="D95" s="71" t="s">
        <v>110</v>
      </c>
      <c r="E95" s="25" t="s">
        <v>16</v>
      </c>
      <c r="F95" s="19">
        <v>6</v>
      </c>
      <c r="G95" s="74">
        <v>106</v>
      </c>
      <c r="H95" s="19">
        <v>31</v>
      </c>
      <c r="I95" s="19"/>
      <c r="J95" s="40">
        <f t="shared" si="11"/>
        <v>143</v>
      </c>
      <c r="K95" s="40">
        <v>93600</v>
      </c>
      <c r="L95" s="20">
        <v>150</v>
      </c>
      <c r="M95" s="60"/>
    </row>
    <row r="96" spans="1:13" ht="17.25" customHeight="1" x14ac:dyDescent="0.25">
      <c r="A96" s="37"/>
      <c r="B96" s="45"/>
      <c r="C96" s="16">
        <v>88</v>
      </c>
      <c r="D96" s="71" t="s">
        <v>111</v>
      </c>
      <c r="E96" s="25" t="s">
        <v>16</v>
      </c>
      <c r="F96" s="19">
        <v>6</v>
      </c>
      <c r="G96" s="74">
        <v>117</v>
      </c>
      <c r="H96" s="19">
        <v>51</v>
      </c>
      <c r="I96" s="19"/>
      <c r="J96" s="40">
        <f t="shared" si="11"/>
        <v>174</v>
      </c>
      <c r="K96" s="40">
        <v>103500</v>
      </c>
      <c r="L96" s="20">
        <v>175</v>
      </c>
      <c r="M96" s="60"/>
    </row>
    <row r="97" spans="1:13" ht="17.25" customHeight="1" x14ac:dyDescent="0.25">
      <c r="A97" s="37"/>
      <c r="B97" s="45"/>
      <c r="C97" s="16">
        <v>89</v>
      </c>
      <c r="D97" s="71" t="s">
        <v>112</v>
      </c>
      <c r="E97" s="25" t="s">
        <v>16</v>
      </c>
      <c r="F97" s="19">
        <v>6</v>
      </c>
      <c r="G97" s="74">
        <v>438</v>
      </c>
      <c r="H97" s="19">
        <v>31</v>
      </c>
      <c r="I97" s="19"/>
      <c r="J97" s="40">
        <f t="shared" si="11"/>
        <v>475</v>
      </c>
      <c r="K97" s="40">
        <v>305900</v>
      </c>
      <c r="L97" s="20">
        <v>289</v>
      </c>
      <c r="M97" s="60"/>
    </row>
    <row r="98" spans="1:13" ht="17.25" customHeight="1" x14ac:dyDescent="0.25">
      <c r="A98" s="37"/>
      <c r="B98" s="45"/>
      <c r="C98" s="16">
        <v>90</v>
      </c>
      <c r="D98" s="71" t="s">
        <v>113</v>
      </c>
      <c r="E98" s="25" t="s">
        <v>16</v>
      </c>
      <c r="F98" s="19">
        <v>4</v>
      </c>
      <c r="G98" s="74">
        <v>66</v>
      </c>
      <c r="H98" s="19">
        <v>2</v>
      </c>
      <c r="I98" s="19"/>
      <c r="J98" s="40">
        <f t="shared" si="11"/>
        <v>72</v>
      </c>
      <c r="K98" s="40">
        <v>44800</v>
      </c>
      <c r="L98" s="20">
        <v>248</v>
      </c>
      <c r="M98" s="60"/>
    </row>
    <row r="99" spans="1:13" ht="17.25" customHeight="1" x14ac:dyDescent="0.25">
      <c r="A99" s="37"/>
      <c r="B99" s="45"/>
      <c r="C99" s="16">
        <v>91</v>
      </c>
      <c r="D99" s="75" t="s">
        <v>114</v>
      </c>
      <c r="E99" s="25" t="s">
        <v>16</v>
      </c>
      <c r="F99" s="19">
        <v>4</v>
      </c>
      <c r="G99" s="74">
        <v>128</v>
      </c>
      <c r="H99" s="19">
        <v>2</v>
      </c>
      <c r="I99" s="19"/>
      <c r="J99" s="40">
        <f t="shared" si="11"/>
        <v>134</v>
      </c>
      <c r="K99" s="40">
        <v>81900</v>
      </c>
      <c r="L99" s="20">
        <v>126</v>
      </c>
      <c r="M99" s="60"/>
    </row>
    <row r="100" spans="1:13" ht="17.25" customHeight="1" x14ac:dyDescent="0.25">
      <c r="A100" s="37"/>
      <c r="B100" s="45"/>
      <c r="C100" s="16">
        <v>92</v>
      </c>
      <c r="D100" s="71" t="s">
        <v>115</v>
      </c>
      <c r="E100" s="25" t="s">
        <v>16</v>
      </c>
      <c r="F100" s="19">
        <v>3.2</v>
      </c>
      <c r="G100" s="74">
        <v>225.15299999999999</v>
      </c>
      <c r="H100" s="19">
        <v>2.7</v>
      </c>
      <c r="I100" s="19"/>
      <c r="J100" s="40">
        <f t="shared" si="11"/>
        <v>231.05299999999997</v>
      </c>
      <c r="K100" s="40">
        <v>201737.69999999998</v>
      </c>
      <c r="L100" s="20">
        <v>196</v>
      </c>
      <c r="M100" s="60"/>
    </row>
    <row r="101" spans="1:13" ht="17.25" customHeight="1" x14ac:dyDescent="0.25">
      <c r="A101" s="37"/>
      <c r="B101" s="45"/>
      <c r="C101" s="16">
        <v>93</v>
      </c>
      <c r="D101" s="71" t="s">
        <v>116</v>
      </c>
      <c r="E101" s="25" t="s">
        <v>16</v>
      </c>
      <c r="F101" s="76" t="s">
        <v>96</v>
      </c>
      <c r="G101" s="77">
        <v>89</v>
      </c>
      <c r="H101" s="76" t="s">
        <v>96</v>
      </c>
      <c r="I101" s="76"/>
      <c r="J101" s="40">
        <f t="shared" si="11"/>
        <v>89</v>
      </c>
      <c r="K101" s="40">
        <v>56000</v>
      </c>
      <c r="L101" s="49">
        <v>98</v>
      </c>
      <c r="M101" s="60"/>
    </row>
    <row r="102" spans="1:13" ht="17.25" customHeight="1" x14ac:dyDescent="0.25">
      <c r="A102" s="37"/>
      <c r="B102" s="45"/>
      <c r="C102" s="16">
        <v>94</v>
      </c>
      <c r="D102" s="71" t="s">
        <v>94</v>
      </c>
      <c r="E102" s="25" t="s">
        <v>16</v>
      </c>
      <c r="F102" s="19">
        <v>4</v>
      </c>
      <c r="G102" s="74">
        <v>71</v>
      </c>
      <c r="H102" s="19">
        <v>21</v>
      </c>
      <c r="I102" s="19"/>
      <c r="J102" s="40">
        <f t="shared" si="11"/>
        <v>96</v>
      </c>
      <c r="K102" s="40">
        <v>49000</v>
      </c>
      <c r="L102" s="20">
        <v>226</v>
      </c>
      <c r="M102" s="60"/>
    </row>
    <row r="103" spans="1:13" ht="17.25" customHeight="1" x14ac:dyDescent="0.25">
      <c r="A103" s="37"/>
      <c r="B103" s="45"/>
      <c r="C103" s="16">
        <v>95</v>
      </c>
      <c r="D103" s="71" t="s">
        <v>117</v>
      </c>
      <c r="E103" s="25" t="s">
        <v>16</v>
      </c>
      <c r="F103" s="19">
        <v>16</v>
      </c>
      <c r="G103" s="74">
        <v>52</v>
      </c>
      <c r="H103" s="19">
        <v>16</v>
      </c>
      <c r="I103" s="19"/>
      <c r="J103" s="40">
        <f t="shared" si="11"/>
        <v>84</v>
      </c>
      <c r="K103" s="40">
        <v>30000</v>
      </c>
      <c r="L103" s="20">
        <v>246</v>
      </c>
      <c r="M103" s="60"/>
    </row>
    <row r="104" spans="1:13" ht="17.25" customHeight="1" x14ac:dyDescent="0.25">
      <c r="A104" s="37"/>
      <c r="B104" s="45"/>
      <c r="C104" s="16">
        <v>96</v>
      </c>
      <c r="D104" s="71" t="s">
        <v>118</v>
      </c>
      <c r="E104" s="25" t="s">
        <v>16</v>
      </c>
      <c r="F104" s="19">
        <v>8</v>
      </c>
      <c r="G104" s="74">
        <v>140</v>
      </c>
      <c r="H104" s="19">
        <v>6</v>
      </c>
      <c r="I104" s="19"/>
      <c r="J104" s="40">
        <f t="shared" si="11"/>
        <v>154</v>
      </c>
      <c r="K104" s="40">
        <v>103500</v>
      </c>
      <c r="L104" s="20">
        <v>300</v>
      </c>
      <c r="M104" s="60"/>
    </row>
    <row r="105" spans="1:13" ht="17.25" customHeight="1" x14ac:dyDescent="0.25">
      <c r="A105" s="37"/>
      <c r="B105" s="45"/>
      <c r="C105" s="16">
        <v>97</v>
      </c>
      <c r="D105" s="71" t="s">
        <v>119</v>
      </c>
      <c r="E105" s="25" t="s">
        <v>16</v>
      </c>
      <c r="F105" s="19">
        <v>9</v>
      </c>
      <c r="G105" s="74">
        <v>111</v>
      </c>
      <c r="H105" s="19">
        <v>13</v>
      </c>
      <c r="I105" s="19"/>
      <c r="J105" s="40">
        <f t="shared" si="11"/>
        <v>133</v>
      </c>
      <c r="K105" s="40">
        <v>88000</v>
      </c>
      <c r="L105" s="20">
        <v>189</v>
      </c>
      <c r="M105" s="60"/>
    </row>
    <row r="106" spans="1:13" ht="17.25" customHeight="1" x14ac:dyDescent="0.25">
      <c r="A106" s="37"/>
      <c r="B106" s="45"/>
      <c r="C106" s="16">
        <v>98</v>
      </c>
      <c r="D106" s="71" t="s">
        <v>120</v>
      </c>
      <c r="E106" s="25" t="s">
        <v>16</v>
      </c>
      <c r="F106" s="19">
        <v>4.08</v>
      </c>
      <c r="G106" s="74">
        <v>77.739999999999995</v>
      </c>
      <c r="H106" s="19">
        <v>6.14</v>
      </c>
      <c r="I106" s="19"/>
      <c r="J106" s="40">
        <f t="shared" si="11"/>
        <v>87.96</v>
      </c>
      <c r="K106" s="40">
        <v>68166</v>
      </c>
      <c r="L106" s="20">
        <v>179</v>
      </c>
      <c r="M106" s="60"/>
    </row>
    <row r="107" spans="1:13" ht="17.25" customHeight="1" x14ac:dyDescent="0.25">
      <c r="A107" s="131" t="s">
        <v>46</v>
      </c>
      <c r="B107" s="132"/>
      <c r="C107" s="132"/>
      <c r="D107" s="132"/>
      <c r="E107" s="31"/>
      <c r="F107" s="32">
        <f>SUM(F81:F106)</f>
        <v>170.095</v>
      </c>
      <c r="G107" s="32">
        <f t="shared" ref="G107:L107" si="12">SUM(G81:G106)</f>
        <v>2858.7079999999996</v>
      </c>
      <c r="H107" s="32">
        <f t="shared" si="12"/>
        <v>316.21499999999997</v>
      </c>
      <c r="I107" s="32"/>
      <c r="J107" s="33">
        <f t="shared" si="12"/>
        <v>3345.018</v>
      </c>
      <c r="K107" s="32">
        <f>SUM(K81:K106)</f>
        <v>2098549.2000000002</v>
      </c>
      <c r="L107" s="32">
        <f t="shared" si="12"/>
        <v>4940</v>
      </c>
      <c r="M107" s="34"/>
    </row>
    <row r="108" spans="1:13" ht="17.25" customHeight="1" x14ac:dyDescent="0.3">
      <c r="A108" s="37" t="s">
        <v>121</v>
      </c>
      <c r="B108" s="45" t="s">
        <v>122</v>
      </c>
      <c r="C108" s="78">
        <v>99</v>
      </c>
      <c r="D108" s="79" t="s">
        <v>123</v>
      </c>
      <c r="E108" s="25" t="s">
        <v>16</v>
      </c>
      <c r="F108" s="80">
        <v>10</v>
      </c>
      <c r="G108" s="80">
        <v>20</v>
      </c>
      <c r="H108" s="80">
        <v>15</v>
      </c>
      <c r="I108" s="81"/>
      <c r="J108" s="82">
        <f>SUM(F108:H108)</f>
        <v>45</v>
      </c>
      <c r="K108" s="83">
        <f>600*G108</f>
        <v>12000</v>
      </c>
      <c r="L108" s="84">
        <v>15</v>
      </c>
      <c r="M108" s="60"/>
    </row>
    <row r="109" spans="1:13" ht="17.25" customHeight="1" x14ac:dyDescent="0.25">
      <c r="A109" s="37"/>
      <c r="B109" s="45"/>
      <c r="C109" s="85">
        <v>100</v>
      </c>
      <c r="D109" s="86" t="s">
        <v>124</v>
      </c>
      <c r="E109" s="25" t="s">
        <v>16</v>
      </c>
      <c r="F109" s="80">
        <v>10</v>
      </c>
      <c r="G109" s="80">
        <v>5</v>
      </c>
      <c r="H109" s="80">
        <v>0</v>
      </c>
      <c r="I109" s="81"/>
      <c r="J109" s="82">
        <f t="shared" ref="J109:J112" si="13">SUM(F109:H109)</f>
        <v>15</v>
      </c>
      <c r="K109" s="83">
        <f t="shared" ref="K109:K112" si="14">600*G109</f>
        <v>3000</v>
      </c>
      <c r="L109" s="84">
        <v>20</v>
      </c>
      <c r="M109" s="60"/>
    </row>
    <row r="110" spans="1:13" ht="17.25" customHeight="1" x14ac:dyDescent="0.25">
      <c r="A110" s="37"/>
      <c r="B110" s="45"/>
      <c r="C110" s="85">
        <v>101</v>
      </c>
      <c r="D110" s="86" t="s">
        <v>125</v>
      </c>
      <c r="E110" s="25" t="s">
        <v>16</v>
      </c>
      <c r="F110" s="80">
        <v>0</v>
      </c>
      <c r="G110" s="80">
        <v>50</v>
      </c>
      <c r="H110" s="80">
        <v>0</v>
      </c>
      <c r="I110" s="81"/>
      <c r="J110" s="82">
        <f t="shared" si="13"/>
        <v>50</v>
      </c>
      <c r="K110" s="83">
        <f t="shared" si="14"/>
        <v>30000</v>
      </c>
      <c r="L110" s="84">
        <v>100</v>
      </c>
      <c r="M110" s="60"/>
    </row>
    <row r="111" spans="1:13" ht="17.25" customHeight="1" x14ac:dyDescent="0.25">
      <c r="A111" s="37"/>
      <c r="B111" s="45"/>
      <c r="C111" s="85">
        <v>102</v>
      </c>
      <c r="D111" s="86" t="s">
        <v>126</v>
      </c>
      <c r="E111" s="25" t="s">
        <v>16</v>
      </c>
      <c r="F111" s="80">
        <v>4.5</v>
      </c>
      <c r="G111" s="80">
        <v>26</v>
      </c>
      <c r="H111" s="80">
        <v>6</v>
      </c>
      <c r="I111" s="81"/>
      <c r="J111" s="82">
        <f t="shared" si="13"/>
        <v>36.5</v>
      </c>
      <c r="K111" s="83">
        <f t="shared" si="14"/>
        <v>15600</v>
      </c>
      <c r="L111" s="84">
        <v>31</v>
      </c>
      <c r="M111" s="60"/>
    </row>
    <row r="112" spans="1:13" ht="17.25" customHeight="1" x14ac:dyDescent="0.25">
      <c r="A112" s="37"/>
      <c r="B112" s="45"/>
      <c r="C112" s="87">
        <v>103</v>
      </c>
      <c r="D112" s="88" t="s">
        <v>127</v>
      </c>
      <c r="E112" s="25" t="s">
        <v>16</v>
      </c>
      <c r="F112" s="80">
        <v>7.5</v>
      </c>
      <c r="G112" s="80">
        <v>3.5</v>
      </c>
      <c r="H112" s="80">
        <v>6</v>
      </c>
      <c r="I112" s="81"/>
      <c r="J112" s="82">
        <f t="shared" si="13"/>
        <v>17</v>
      </c>
      <c r="K112" s="83">
        <f t="shared" si="14"/>
        <v>2100</v>
      </c>
      <c r="L112" s="84">
        <v>24</v>
      </c>
      <c r="M112" s="60"/>
    </row>
    <row r="113" spans="1:13" ht="17.25" customHeight="1" x14ac:dyDescent="0.25">
      <c r="A113" s="131" t="s">
        <v>46</v>
      </c>
      <c r="B113" s="132"/>
      <c r="C113" s="132"/>
      <c r="D113" s="132"/>
      <c r="E113" s="31"/>
      <c r="F113" s="32">
        <f>SUM(F108:F112)</f>
        <v>32</v>
      </c>
      <c r="G113" s="32">
        <f t="shared" ref="G113:L113" si="15">SUM(G108:G112)</f>
        <v>104.5</v>
      </c>
      <c r="H113" s="32">
        <v>28</v>
      </c>
      <c r="I113" s="32"/>
      <c r="J113" s="33">
        <f t="shared" si="15"/>
        <v>163.5</v>
      </c>
      <c r="K113" s="32">
        <f>SUM(K108:K112)</f>
        <v>62700</v>
      </c>
      <c r="L113" s="32">
        <f t="shared" si="15"/>
        <v>190</v>
      </c>
      <c r="M113" s="34"/>
    </row>
    <row r="114" spans="1:13" ht="17.25" customHeight="1" x14ac:dyDescent="0.25">
      <c r="A114" s="37" t="s">
        <v>128</v>
      </c>
      <c r="B114" s="38" t="s">
        <v>129</v>
      </c>
      <c r="C114" s="16">
        <v>104</v>
      </c>
      <c r="D114" s="89" t="s">
        <v>130</v>
      </c>
      <c r="E114" s="25" t="s">
        <v>16</v>
      </c>
      <c r="F114" s="90">
        <v>0</v>
      </c>
      <c r="G114" s="90">
        <v>147.3075</v>
      </c>
      <c r="H114" s="41">
        <v>0</v>
      </c>
      <c r="I114" s="41"/>
      <c r="J114" s="41">
        <f>SUM(F114:H114)</f>
        <v>147.3075</v>
      </c>
      <c r="K114" s="83">
        <f>G114*800</f>
        <v>117846</v>
      </c>
      <c r="L114" s="91">
        <v>206</v>
      </c>
      <c r="M114" s="60"/>
    </row>
    <row r="115" spans="1:13" ht="17.25" customHeight="1" x14ac:dyDescent="0.25">
      <c r="A115" s="37"/>
      <c r="B115" s="45"/>
      <c r="C115" s="16">
        <v>105</v>
      </c>
      <c r="D115" s="92" t="s">
        <v>131</v>
      </c>
      <c r="E115" s="25" t="s">
        <v>16</v>
      </c>
      <c r="F115" s="90">
        <v>0</v>
      </c>
      <c r="G115" s="90">
        <v>40</v>
      </c>
      <c r="H115" s="41">
        <v>0</v>
      </c>
      <c r="I115" s="41"/>
      <c r="J115" s="41">
        <f t="shared" ref="J115:J153" si="16">SUM(F115:H115)</f>
        <v>40</v>
      </c>
      <c r="K115" s="83">
        <f t="shared" ref="K115:K153" si="17">G115*800</f>
        <v>32000</v>
      </c>
      <c r="L115" s="91">
        <v>45</v>
      </c>
      <c r="M115" s="60"/>
    </row>
    <row r="116" spans="1:13" ht="17.25" customHeight="1" x14ac:dyDescent="0.25">
      <c r="A116" s="37"/>
      <c r="B116" s="45"/>
      <c r="C116" s="16">
        <v>106</v>
      </c>
      <c r="D116" s="92" t="s">
        <v>132</v>
      </c>
      <c r="E116" s="25" t="s">
        <v>16</v>
      </c>
      <c r="F116" s="90">
        <v>0</v>
      </c>
      <c r="G116" s="90">
        <v>106</v>
      </c>
      <c r="H116" s="41">
        <v>0</v>
      </c>
      <c r="I116" s="41"/>
      <c r="J116" s="41">
        <f t="shared" si="16"/>
        <v>106</v>
      </c>
      <c r="K116" s="83">
        <f t="shared" si="17"/>
        <v>84800</v>
      </c>
      <c r="L116" s="91">
        <v>297</v>
      </c>
      <c r="M116" s="60"/>
    </row>
    <row r="117" spans="1:13" ht="17.25" customHeight="1" x14ac:dyDescent="0.25">
      <c r="A117" s="37"/>
      <c r="B117" s="45"/>
      <c r="C117" s="16">
        <v>107</v>
      </c>
      <c r="D117" s="92" t="s">
        <v>133</v>
      </c>
      <c r="E117" s="25" t="s">
        <v>16</v>
      </c>
      <c r="F117" s="90">
        <v>0</v>
      </c>
      <c r="G117" s="90">
        <v>10.375</v>
      </c>
      <c r="H117" s="41">
        <v>0</v>
      </c>
      <c r="I117" s="41"/>
      <c r="J117" s="41">
        <f t="shared" si="16"/>
        <v>10.375</v>
      </c>
      <c r="K117" s="83">
        <f t="shared" si="17"/>
        <v>8300</v>
      </c>
      <c r="L117" s="91">
        <v>9</v>
      </c>
      <c r="M117" s="60"/>
    </row>
    <row r="118" spans="1:13" ht="17.25" customHeight="1" x14ac:dyDescent="0.25">
      <c r="A118" s="37"/>
      <c r="B118" s="45"/>
      <c r="C118" s="16">
        <v>108</v>
      </c>
      <c r="D118" s="92" t="s">
        <v>134</v>
      </c>
      <c r="E118" s="25" t="s">
        <v>16</v>
      </c>
      <c r="F118" s="90">
        <v>9.4085000000000001</v>
      </c>
      <c r="G118" s="90">
        <v>124.81019999999999</v>
      </c>
      <c r="H118" s="41">
        <v>5.4435000000000002</v>
      </c>
      <c r="I118" s="41"/>
      <c r="J118" s="41">
        <f t="shared" si="16"/>
        <v>139.66219999999998</v>
      </c>
      <c r="K118" s="83">
        <f t="shared" si="17"/>
        <v>99848.159999999989</v>
      </c>
      <c r="L118" s="91">
        <v>258</v>
      </c>
      <c r="M118" s="60"/>
    </row>
    <row r="119" spans="1:13" ht="17.25" customHeight="1" x14ac:dyDescent="0.25">
      <c r="A119" s="37"/>
      <c r="B119" s="45"/>
      <c r="C119" s="16">
        <v>109</v>
      </c>
      <c r="D119" s="92" t="s">
        <v>135</v>
      </c>
      <c r="E119" s="25" t="s">
        <v>16</v>
      </c>
      <c r="F119" s="90">
        <v>0</v>
      </c>
      <c r="G119" s="90">
        <v>163</v>
      </c>
      <c r="H119" s="41">
        <v>0</v>
      </c>
      <c r="I119" s="41"/>
      <c r="J119" s="41">
        <f t="shared" si="16"/>
        <v>163</v>
      </c>
      <c r="K119" s="83">
        <f t="shared" si="17"/>
        <v>130400</v>
      </c>
      <c r="L119" s="91">
        <v>218</v>
      </c>
      <c r="M119" s="60"/>
    </row>
    <row r="120" spans="1:13" ht="17.25" customHeight="1" x14ac:dyDescent="0.25">
      <c r="A120" s="37"/>
      <c r="B120" s="45"/>
      <c r="C120" s="16">
        <v>110</v>
      </c>
      <c r="D120" s="92" t="s">
        <v>136</v>
      </c>
      <c r="E120" s="25" t="s">
        <v>16</v>
      </c>
      <c r="F120" s="90">
        <v>0</v>
      </c>
      <c r="G120" s="90">
        <v>35.15</v>
      </c>
      <c r="H120" s="41">
        <v>0</v>
      </c>
      <c r="I120" s="41"/>
      <c r="J120" s="41">
        <f t="shared" si="16"/>
        <v>35.15</v>
      </c>
      <c r="K120" s="83">
        <f t="shared" si="17"/>
        <v>28120</v>
      </c>
      <c r="L120" s="91">
        <v>196</v>
      </c>
      <c r="M120" s="60"/>
    </row>
    <row r="121" spans="1:13" ht="17.25" customHeight="1" x14ac:dyDescent="0.25">
      <c r="A121" s="37"/>
      <c r="B121" s="45"/>
      <c r="C121" s="16">
        <v>111</v>
      </c>
      <c r="D121" s="92" t="s">
        <v>137</v>
      </c>
      <c r="E121" s="25" t="s">
        <v>16</v>
      </c>
      <c r="F121" s="90">
        <v>0</v>
      </c>
      <c r="G121" s="90">
        <v>22.25</v>
      </c>
      <c r="H121" s="41">
        <v>0</v>
      </c>
      <c r="I121" s="41"/>
      <c r="J121" s="41">
        <f t="shared" si="16"/>
        <v>22.25</v>
      </c>
      <c r="K121" s="83">
        <f t="shared" si="17"/>
        <v>17800</v>
      </c>
      <c r="L121" s="91">
        <v>46</v>
      </c>
      <c r="M121" s="60"/>
    </row>
    <row r="122" spans="1:13" ht="17.25" customHeight="1" x14ac:dyDescent="0.25">
      <c r="A122" s="37"/>
      <c r="B122" s="45"/>
      <c r="C122" s="16">
        <v>112</v>
      </c>
      <c r="D122" s="92" t="s">
        <v>138</v>
      </c>
      <c r="E122" s="25" t="s">
        <v>16</v>
      </c>
      <c r="F122" s="90">
        <v>0</v>
      </c>
      <c r="G122" s="90">
        <v>33.856250000000003</v>
      </c>
      <c r="H122" s="41">
        <v>0</v>
      </c>
      <c r="I122" s="41"/>
      <c r="J122" s="41">
        <f t="shared" si="16"/>
        <v>33.856250000000003</v>
      </c>
      <c r="K122" s="83">
        <f t="shared" si="17"/>
        <v>27085.000000000004</v>
      </c>
      <c r="L122" s="91">
        <v>85</v>
      </c>
      <c r="M122" s="60"/>
    </row>
    <row r="123" spans="1:13" ht="17.25" customHeight="1" x14ac:dyDescent="0.25">
      <c r="A123" s="37"/>
      <c r="B123" s="45"/>
      <c r="C123" s="16">
        <v>113</v>
      </c>
      <c r="D123" s="92" t="s">
        <v>139</v>
      </c>
      <c r="E123" s="25" t="s">
        <v>16</v>
      </c>
      <c r="F123" s="90">
        <v>6.4675000000000002</v>
      </c>
      <c r="G123" s="90">
        <v>31.434999999999999</v>
      </c>
      <c r="H123" s="41">
        <v>48.875</v>
      </c>
      <c r="I123" s="41"/>
      <c r="J123" s="41">
        <f t="shared" si="16"/>
        <v>86.777500000000003</v>
      </c>
      <c r="K123" s="83">
        <f t="shared" si="17"/>
        <v>25148</v>
      </c>
      <c r="L123" s="91">
        <v>181</v>
      </c>
      <c r="M123" s="60"/>
    </row>
    <row r="124" spans="1:13" ht="17.25" customHeight="1" x14ac:dyDescent="0.25">
      <c r="A124" s="37"/>
      <c r="B124" s="45"/>
      <c r="C124" s="16">
        <v>114</v>
      </c>
      <c r="D124" s="92" t="s">
        <v>140</v>
      </c>
      <c r="E124" s="25" t="s">
        <v>16</v>
      </c>
      <c r="F124" s="90">
        <v>5.6337999999999999</v>
      </c>
      <c r="G124" s="90">
        <v>83.562299999999993</v>
      </c>
      <c r="H124" s="41">
        <v>4.1257000000000001</v>
      </c>
      <c r="I124" s="41"/>
      <c r="J124" s="41">
        <f t="shared" si="16"/>
        <v>93.321799999999982</v>
      </c>
      <c r="K124" s="83">
        <f t="shared" si="17"/>
        <v>66849.84</v>
      </c>
      <c r="L124" s="91">
        <v>225</v>
      </c>
      <c r="M124" s="60"/>
    </row>
    <row r="125" spans="1:13" ht="17.25" customHeight="1" x14ac:dyDescent="0.25">
      <c r="A125" s="37"/>
      <c r="B125" s="45"/>
      <c r="C125" s="16">
        <v>115</v>
      </c>
      <c r="D125" s="92" t="s">
        <v>141</v>
      </c>
      <c r="E125" s="25" t="s">
        <v>16</v>
      </c>
      <c r="F125" s="90">
        <v>0</v>
      </c>
      <c r="G125" s="90">
        <v>144.94550000000001</v>
      </c>
      <c r="H125" s="41">
        <v>0</v>
      </c>
      <c r="I125" s="41"/>
      <c r="J125" s="41">
        <f t="shared" si="16"/>
        <v>144.94550000000001</v>
      </c>
      <c r="K125" s="83">
        <f t="shared" si="17"/>
        <v>115956.40000000001</v>
      </c>
      <c r="L125" s="91">
        <v>212</v>
      </c>
      <c r="M125" s="60"/>
    </row>
    <row r="126" spans="1:13" ht="17.25" customHeight="1" x14ac:dyDescent="0.25">
      <c r="A126" s="37"/>
      <c r="B126" s="45"/>
      <c r="C126" s="16">
        <v>116</v>
      </c>
      <c r="D126" s="92" t="s">
        <v>142</v>
      </c>
      <c r="E126" s="25" t="s">
        <v>16</v>
      </c>
      <c r="F126" s="90">
        <v>0</v>
      </c>
      <c r="G126" s="90">
        <v>40.872900000000001</v>
      </c>
      <c r="H126" s="41">
        <v>0</v>
      </c>
      <c r="I126" s="41"/>
      <c r="J126" s="41">
        <f t="shared" si="16"/>
        <v>40.872900000000001</v>
      </c>
      <c r="K126" s="83">
        <f t="shared" si="17"/>
        <v>32698.32</v>
      </c>
      <c r="L126" s="91">
        <v>74</v>
      </c>
      <c r="M126" s="60"/>
    </row>
    <row r="127" spans="1:13" ht="17.25" customHeight="1" x14ac:dyDescent="0.25">
      <c r="A127" s="37"/>
      <c r="B127" s="45"/>
      <c r="C127" s="16">
        <v>117</v>
      </c>
      <c r="D127" s="92" t="s">
        <v>143</v>
      </c>
      <c r="E127" s="25" t="s">
        <v>16</v>
      </c>
      <c r="F127" s="90">
        <v>0</v>
      </c>
      <c r="G127" s="93">
        <v>204.0369</v>
      </c>
      <c r="H127" s="41">
        <v>0</v>
      </c>
      <c r="I127" s="41"/>
      <c r="J127" s="41">
        <f t="shared" si="16"/>
        <v>204.0369</v>
      </c>
      <c r="K127" s="83">
        <f t="shared" si="17"/>
        <v>163229.51999999999</v>
      </c>
      <c r="L127" s="91">
        <v>245</v>
      </c>
      <c r="M127" s="60"/>
    </row>
    <row r="128" spans="1:13" ht="17.25" customHeight="1" x14ac:dyDescent="0.25">
      <c r="A128" s="37"/>
      <c r="B128" s="45"/>
      <c r="C128" s="94">
        <v>118</v>
      </c>
      <c r="D128" s="95" t="s">
        <v>144</v>
      </c>
      <c r="E128" s="25" t="s">
        <v>16</v>
      </c>
      <c r="F128" s="96">
        <v>2.1465999999999998</v>
      </c>
      <c r="G128" s="97">
        <v>16.296600000000002</v>
      </c>
      <c r="H128" s="98">
        <v>2.6974</v>
      </c>
      <c r="I128" s="98"/>
      <c r="J128" s="98">
        <f t="shared" si="16"/>
        <v>21.140599999999999</v>
      </c>
      <c r="K128" s="99">
        <f t="shared" si="17"/>
        <v>13037.28</v>
      </c>
      <c r="L128" s="91">
        <v>91</v>
      </c>
      <c r="M128" s="60"/>
    </row>
    <row r="129" spans="1:13" ht="17.25" customHeight="1" x14ac:dyDescent="0.25">
      <c r="A129" s="37"/>
      <c r="B129" s="45"/>
      <c r="C129" s="94">
        <v>119</v>
      </c>
      <c r="D129" s="95" t="s">
        <v>145</v>
      </c>
      <c r="E129" s="25" t="s">
        <v>16</v>
      </c>
      <c r="F129" s="96">
        <v>0</v>
      </c>
      <c r="G129" s="100">
        <v>4875</v>
      </c>
      <c r="H129" s="98">
        <v>0</v>
      </c>
      <c r="I129" s="98"/>
      <c r="J129" s="101">
        <f t="shared" si="16"/>
        <v>4875</v>
      </c>
      <c r="K129" s="99">
        <f t="shared" si="17"/>
        <v>3900000</v>
      </c>
      <c r="L129" s="91">
        <v>392</v>
      </c>
      <c r="M129" s="60"/>
    </row>
    <row r="130" spans="1:13" ht="17.25" customHeight="1" x14ac:dyDescent="0.25">
      <c r="A130" s="37"/>
      <c r="B130" s="45"/>
      <c r="C130" s="94">
        <v>120</v>
      </c>
      <c r="D130" s="95" t="s">
        <v>146</v>
      </c>
      <c r="E130" s="25" t="s">
        <v>16</v>
      </c>
      <c r="F130" s="96">
        <v>0</v>
      </c>
      <c r="G130" s="97">
        <v>19.1875</v>
      </c>
      <c r="H130" s="98">
        <v>0</v>
      </c>
      <c r="I130" s="98"/>
      <c r="J130" s="98">
        <f t="shared" si="16"/>
        <v>19.1875</v>
      </c>
      <c r="K130" s="99">
        <f t="shared" si="17"/>
        <v>15350</v>
      </c>
      <c r="L130" s="91">
        <v>136</v>
      </c>
      <c r="M130" s="60"/>
    </row>
    <row r="131" spans="1:13" ht="17.25" customHeight="1" x14ac:dyDescent="0.25">
      <c r="A131" s="37"/>
      <c r="B131" s="45"/>
      <c r="C131" s="94">
        <v>121</v>
      </c>
      <c r="D131" s="95" t="s">
        <v>147</v>
      </c>
      <c r="E131" s="25" t="s">
        <v>16</v>
      </c>
      <c r="F131" s="96">
        <v>6.6</v>
      </c>
      <c r="G131" s="97">
        <v>200.6</v>
      </c>
      <c r="H131" s="98">
        <v>4</v>
      </c>
      <c r="I131" s="98"/>
      <c r="J131" s="98">
        <f t="shared" si="16"/>
        <v>211.2</v>
      </c>
      <c r="K131" s="99">
        <f t="shared" si="17"/>
        <v>160480</v>
      </c>
      <c r="L131" s="91">
        <v>255</v>
      </c>
      <c r="M131" s="60"/>
    </row>
    <row r="132" spans="1:13" ht="17.25" customHeight="1" x14ac:dyDescent="0.25">
      <c r="A132" s="37"/>
      <c r="B132" s="45"/>
      <c r="C132" s="16">
        <v>122</v>
      </c>
      <c r="D132" s="92" t="s">
        <v>148</v>
      </c>
      <c r="E132" s="25" t="s">
        <v>16</v>
      </c>
      <c r="F132" s="90">
        <v>0</v>
      </c>
      <c r="G132" s="93">
        <v>27.3</v>
      </c>
      <c r="H132" s="41">
        <v>0</v>
      </c>
      <c r="I132" s="41"/>
      <c r="J132" s="41">
        <f t="shared" si="16"/>
        <v>27.3</v>
      </c>
      <c r="K132" s="83">
        <f t="shared" si="17"/>
        <v>21840</v>
      </c>
      <c r="L132" s="91">
        <v>39</v>
      </c>
      <c r="M132" s="60"/>
    </row>
    <row r="133" spans="1:13" ht="17.25" customHeight="1" x14ac:dyDescent="0.25">
      <c r="A133" s="37"/>
      <c r="B133" s="45"/>
      <c r="C133" s="16">
        <v>123</v>
      </c>
      <c r="D133" s="92" t="s">
        <v>149</v>
      </c>
      <c r="E133" s="25" t="s">
        <v>16</v>
      </c>
      <c r="F133" s="90">
        <v>0</v>
      </c>
      <c r="G133" s="93">
        <v>61.572400000000002</v>
      </c>
      <c r="H133" s="41">
        <v>0</v>
      </c>
      <c r="I133" s="41"/>
      <c r="J133" s="41">
        <f t="shared" si="16"/>
        <v>61.572400000000002</v>
      </c>
      <c r="K133" s="83">
        <f t="shared" si="17"/>
        <v>49257.919999999998</v>
      </c>
      <c r="L133" s="91">
        <v>162</v>
      </c>
      <c r="M133" s="60"/>
    </row>
    <row r="134" spans="1:13" ht="17.25" customHeight="1" x14ac:dyDescent="0.25">
      <c r="A134" s="37"/>
      <c r="B134" s="45"/>
      <c r="C134" s="16">
        <v>124</v>
      </c>
      <c r="D134" s="92" t="s">
        <v>150</v>
      </c>
      <c r="E134" s="25" t="s">
        <v>16</v>
      </c>
      <c r="F134" s="90">
        <v>0</v>
      </c>
      <c r="G134" s="93">
        <v>99</v>
      </c>
      <c r="H134" s="41">
        <v>0</v>
      </c>
      <c r="I134" s="41"/>
      <c r="J134" s="41">
        <f t="shared" si="16"/>
        <v>99</v>
      </c>
      <c r="K134" s="83">
        <f t="shared" si="17"/>
        <v>79200</v>
      </c>
      <c r="L134" s="91">
        <v>163</v>
      </c>
      <c r="M134" s="60"/>
    </row>
    <row r="135" spans="1:13" ht="17.25" customHeight="1" x14ac:dyDescent="0.25">
      <c r="A135" s="37"/>
      <c r="B135" s="45"/>
      <c r="C135" s="16">
        <v>125</v>
      </c>
      <c r="D135" s="92" t="s">
        <v>151</v>
      </c>
      <c r="E135" s="25" t="s">
        <v>16</v>
      </c>
      <c r="F135" s="90">
        <v>0</v>
      </c>
      <c r="G135" s="93">
        <v>71.22</v>
      </c>
      <c r="H135" s="41">
        <v>0</v>
      </c>
      <c r="I135" s="41"/>
      <c r="J135" s="41">
        <f t="shared" si="16"/>
        <v>71.22</v>
      </c>
      <c r="K135" s="83">
        <f t="shared" si="17"/>
        <v>56976</v>
      </c>
      <c r="L135" s="91">
        <v>110</v>
      </c>
      <c r="M135" s="60"/>
    </row>
    <row r="136" spans="1:13" ht="17.25" customHeight="1" x14ac:dyDescent="0.25">
      <c r="A136" s="37"/>
      <c r="B136" s="45"/>
      <c r="C136" s="16">
        <v>126</v>
      </c>
      <c r="D136" s="92" t="s">
        <v>152</v>
      </c>
      <c r="E136" s="25" t="s">
        <v>16</v>
      </c>
      <c r="F136" s="90">
        <v>0</v>
      </c>
      <c r="G136" s="93">
        <v>67.7898</v>
      </c>
      <c r="H136" s="41">
        <v>0</v>
      </c>
      <c r="I136" s="41"/>
      <c r="J136" s="41">
        <f t="shared" si="16"/>
        <v>67.7898</v>
      </c>
      <c r="K136" s="83">
        <f t="shared" si="17"/>
        <v>54231.839999999997</v>
      </c>
      <c r="L136" s="91">
        <v>247</v>
      </c>
      <c r="M136" s="60"/>
    </row>
    <row r="137" spans="1:13" ht="17.25" customHeight="1" x14ac:dyDescent="0.25">
      <c r="A137" s="37"/>
      <c r="B137" s="45"/>
      <c r="C137" s="16">
        <v>127</v>
      </c>
      <c r="D137" s="95" t="s">
        <v>153</v>
      </c>
      <c r="E137" s="25" t="s">
        <v>16</v>
      </c>
      <c r="F137" s="96">
        <v>68.78</v>
      </c>
      <c r="G137" s="97">
        <v>814</v>
      </c>
      <c r="H137" s="98">
        <v>68.78</v>
      </c>
      <c r="I137" s="98"/>
      <c r="J137" s="98">
        <f t="shared" si="16"/>
        <v>951.56</v>
      </c>
      <c r="K137" s="99">
        <f t="shared" si="17"/>
        <v>651200</v>
      </c>
      <c r="L137" s="91">
        <v>203</v>
      </c>
      <c r="M137" s="60"/>
    </row>
    <row r="138" spans="1:13" ht="17.25" customHeight="1" x14ac:dyDescent="0.25">
      <c r="A138" s="37"/>
      <c r="B138" s="45"/>
      <c r="C138" s="16">
        <v>128</v>
      </c>
      <c r="D138" s="92" t="s">
        <v>154</v>
      </c>
      <c r="E138" s="25" t="s">
        <v>16</v>
      </c>
      <c r="F138" s="90">
        <v>0</v>
      </c>
      <c r="G138" s="93">
        <v>108.05</v>
      </c>
      <c r="H138" s="41">
        <v>0</v>
      </c>
      <c r="I138" s="41"/>
      <c r="J138" s="41">
        <f t="shared" si="16"/>
        <v>108.05</v>
      </c>
      <c r="K138" s="83">
        <f t="shared" si="17"/>
        <v>86440</v>
      </c>
      <c r="L138" s="91">
        <v>219</v>
      </c>
      <c r="M138" s="60"/>
    </row>
    <row r="139" spans="1:13" ht="17.25" customHeight="1" x14ac:dyDescent="0.25">
      <c r="A139" s="37"/>
      <c r="B139" s="45"/>
      <c r="C139" s="16">
        <v>129</v>
      </c>
      <c r="D139" s="92" t="s">
        <v>155</v>
      </c>
      <c r="E139" s="25" t="s">
        <v>16</v>
      </c>
      <c r="F139" s="90">
        <v>0</v>
      </c>
      <c r="G139" s="93">
        <v>102.73</v>
      </c>
      <c r="H139" s="41">
        <v>0</v>
      </c>
      <c r="I139" s="41"/>
      <c r="J139" s="41">
        <f t="shared" si="16"/>
        <v>102.73</v>
      </c>
      <c r="K139" s="83">
        <f t="shared" si="17"/>
        <v>82184</v>
      </c>
      <c r="L139" s="91">
        <v>166</v>
      </c>
      <c r="M139" s="60"/>
    </row>
    <row r="140" spans="1:13" ht="17.25" customHeight="1" x14ac:dyDescent="0.25">
      <c r="A140" s="37"/>
      <c r="B140" s="45"/>
      <c r="C140" s="16">
        <v>130</v>
      </c>
      <c r="D140" s="92" t="s">
        <v>156</v>
      </c>
      <c r="E140" s="25" t="s">
        <v>16</v>
      </c>
      <c r="F140" s="90">
        <v>0</v>
      </c>
      <c r="G140" s="93">
        <v>329.14839999999998</v>
      </c>
      <c r="H140" s="41">
        <v>0</v>
      </c>
      <c r="I140" s="41"/>
      <c r="J140" s="41">
        <f t="shared" si="16"/>
        <v>329.14839999999998</v>
      </c>
      <c r="K140" s="83">
        <f t="shared" si="17"/>
        <v>263318.71999999997</v>
      </c>
      <c r="L140" s="91">
        <v>135</v>
      </c>
      <c r="M140" s="60"/>
    </row>
    <row r="141" spans="1:13" ht="17.25" customHeight="1" x14ac:dyDescent="0.25">
      <c r="A141" s="37"/>
      <c r="B141" s="45"/>
      <c r="C141" s="16">
        <v>131</v>
      </c>
      <c r="D141" s="92" t="s">
        <v>157</v>
      </c>
      <c r="E141" s="25" t="s">
        <v>16</v>
      </c>
      <c r="F141" s="90">
        <v>13.15</v>
      </c>
      <c r="G141" s="93">
        <v>56.77</v>
      </c>
      <c r="H141" s="41">
        <v>16.29</v>
      </c>
      <c r="I141" s="41"/>
      <c r="J141" s="41">
        <f t="shared" si="16"/>
        <v>86.210000000000008</v>
      </c>
      <c r="K141" s="83">
        <f t="shared" si="17"/>
        <v>45416</v>
      </c>
      <c r="L141" s="91">
        <v>64</v>
      </c>
      <c r="M141" s="60"/>
    </row>
    <row r="142" spans="1:13" ht="17.25" customHeight="1" x14ac:dyDescent="0.25">
      <c r="A142" s="37"/>
      <c r="B142" s="45"/>
      <c r="C142" s="16">
        <v>132</v>
      </c>
      <c r="D142" s="92" t="s">
        <v>158</v>
      </c>
      <c r="E142" s="25" t="s">
        <v>16</v>
      </c>
      <c r="F142" s="90">
        <v>1.06</v>
      </c>
      <c r="G142" s="93">
        <v>83.31</v>
      </c>
      <c r="H142" s="41">
        <v>0</v>
      </c>
      <c r="I142" s="41"/>
      <c r="J142" s="41">
        <f t="shared" si="16"/>
        <v>84.37</v>
      </c>
      <c r="K142" s="83">
        <f t="shared" si="17"/>
        <v>66648</v>
      </c>
      <c r="L142" s="91">
        <v>138</v>
      </c>
      <c r="M142" s="60"/>
    </row>
    <row r="143" spans="1:13" ht="17.25" customHeight="1" x14ac:dyDescent="0.25">
      <c r="A143" s="37"/>
      <c r="B143" s="45"/>
      <c r="C143" s="16">
        <v>133</v>
      </c>
      <c r="D143" s="92" t="s">
        <v>159</v>
      </c>
      <c r="E143" s="25" t="s">
        <v>16</v>
      </c>
      <c r="F143" s="90">
        <v>0</v>
      </c>
      <c r="G143" s="93">
        <v>55.31</v>
      </c>
      <c r="H143" s="41">
        <v>0</v>
      </c>
      <c r="I143" s="41"/>
      <c r="J143" s="41">
        <f t="shared" si="16"/>
        <v>55.31</v>
      </c>
      <c r="K143" s="83">
        <f t="shared" si="17"/>
        <v>44248</v>
      </c>
      <c r="L143" s="91">
        <v>90</v>
      </c>
      <c r="M143" s="60"/>
    </row>
    <row r="144" spans="1:13" ht="17.25" customHeight="1" x14ac:dyDescent="0.25">
      <c r="A144" s="37"/>
      <c r="B144" s="45"/>
      <c r="C144" s="16">
        <v>134</v>
      </c>
      <c r="D144" s="92" t="s">
        <v>160</v>
      </c>
      <c r="E144" s="25" t="s">
        <v>16</v>
      </c>
      <c r="F144" s="90">
        <v>0</v>
      </c>
      <c r="G144" s="93">
        <v>43.9069</v>
      </c>
      <c r="H144" s="41">
        <v>0</v>
      </c>
      <c r="I144" s="41"/>
      <c r="J144" s="41">
        <f t="shared" si="16"/>
        <v>43.9069</v>
      </c>
      <c r="K144" s="83">
        <f t="shared" si="17"/>
        <v>35125.519999999997</v>
      </c>
      <c r="L144" s="91">
        <v>112</v>
      </c>
      <c r="M144" s="60"/>
    </row>
    <row r="145" spans="1:13" ht="17.25" customHeight="1" x14ac:dyDescent="0.25">
      <c r="A145" s="37"/>
      <c r="B145" s="45"/>
      <c r="C145" s="16">
        <v>135</v>
      </c>
      <c r="D145" s="92" t="s">
        <v>161</v>
      </c>
      <c r="E145" s="25" t="s">
        <v>16</v>
      </c>
      <c r="F145" s="90">
        <v>0</v>
      </c>
      <c r="G145" s="93">
        <v>75.296199999999999</v>
      </c>
      <c r="H145" s="41">
        <v>0</v>
      </c>
      <c r="I145" s="41"/>
      <c r="J145" s="41">
        <f t="shared" si="16"/>
        <v>75.296199999999999</v>
      </c>
      <c r="K145" s="83">
        <f t="shared" si="17"/>
        <v>60236.959999999999</v>
      </c>
      <c r="L145" s="91">
        <v>222</v>
      </c>
      <c r="M145" s="60"/>
    </row>
    <row r="146" spans="1:13" ht="17.25" customHeight="1" x14ac:dyDescent="0.25">
      <c r="A146" s="37"/>
      <c r="B146" s="45"/>
      <c r="C146" s="16">
        <v>136</v>
      </c>
      <c r="D146" s="92" t="s">
        <v>162</v>
      </c>
      <c r="E146" s="25" t="s">
        <v>16</v>
      </c>
      <c r="F146" s="90">
        <v>0</v>
      </c>
      <c r="G146" s="93">
        <v>33.36</v>
      </c>
      <c r="H146" s="41">
        <v>0</v>
      </c>
      <c r="I146" s="41"/>
      <c r="J146" s="41">
        <f t="shared" si="16"/>
        <v>33.36</v>
      </c>
      <c r="K146" s="83">
        <f t="shared" si="17"/>
        <v>26688</v>
      </c>
      <c r="L146" s="91">
        <v>73</v>
      </c>
      <c r="M146" s="60"/>
    </row>
    <row r="147" spans="1:13" ht="17.25" customHeight="1" x14ac:dyDescent="0.25">
      <c r="A147" s="37"/>
      <c r="B147" s="45"/>
      <c r="C147" s="16">
        <v>137</v>
      </c>
      <c r="D147" s="92" t="s">
        <v>163</v>
      </c>
      <c r="E147" s="25" t="s">
        <v>16</v>
      </c>
      <c r="F147" s="90">
        <v>0</v>
      </c>
      <c r="G147" s="93">
        <v>25.09</v>
      </c>
      <c r="H147" s="41">
        <v>0</v>
      </c>
      <c r="I147" s="41"/>
      <c r="J147" s="41">
        <f t="shared" si="16"/>
        <v>25.09</v>
      </c>
      <c r="K147" s="83">
        <f t="shared" si="17"/>
        <v>20072</v>
      </c>
      <c r="L147" s="91">
        <v>32</v>
      </c>
      <c r="M147" s="60"/>
    </row>
    <row r="148" spans="1:13" ht="17.25" customHeight="1" x14ac:dyDescent="0.25">
      <c r="A148" s="37"/>
      <c r="B148" s="45"/>
      <c r="C148" s="16">
        <v>138</v>
      </c>
      <c r="D148" s="92" t="s">
        <v>164</v>
      </c>
      <c r="E148" s="25" t="s">
        <v>16</v>
      </c>
      <c r="F148" s="90">
        <v>1.5</v>
      </c>
      <c r="G148" s="93">
        <v>13.31</v>
      </c>
      <c r="H148" s="41">
        <v>3</v>
      </c>
      <c r="I148" s="41"/>
      <c r="J148" s="41">
        <f t="shared" si="16"/>
        <v>17.810000000000002</v>
      </c>
      <c r="K148" s="83">
        <f t="shared" si="17"/>
        <v>10648</v>
      </c>
      <c r="L148" s="91">
        <v>22</v>
      </c>
      <c r="M148" s="60"/>
    </row>
    <row r="149" spans="1:13" ht="17.25" customHeight="1" x14ac:dyDescent="0.25">
      <c r="A149" s="37"/>
      <c r="B149" s="45"/>
      <c r="C149" s="16">
        <v>139</v>
      </c>
      <c r="D149" s="92" t="s">
        <v>165</v>
      </c>
      <c r="E149" s="25" t="s">
        <v>16</v>
      </c>
      <c r="F149" s="90">
        <v>0</v>
      </c>
      <c r="G149" s="93">
        <v>117.3012334</v>
      </c>
      <c r="H149" s="41">
        <v>0</v>
      </c>
      <c r="I149" s="41"/>
      <c r="J149" s="41">
        <f t="shared" si="16"/>
        <v>117.3012334</v>
      </c>
      <c r="K149" s="83">
        <f t="shared" si="17"/>
        <v>93840.986720000001</v>
      </c>
      <c r="L149" s="91">
        <v>256</v>
      </c>
      <c r="M149" s="60"/>
    </row>
    <row r="150" spans="1:13" ht="17.25" customHeight="1" x14ac:dyDescent="0.25">
      <c r="A150" s="37"/>
      <c r="B150" s="45"/>
      <c r="C150" s="16">
        <v>140</v>
      </c>
      <c r="D150" s="92" t="s">
        <v>166</v>
      </c>
      <c r="E150" s="25" t="s">
        <v>16</v>
      </c>
      <c r="F150" s="90">
        <v>0</v>
      </c>
      <c r="G150" s="93">
        <v>3.46</v>
      </c>
      <c r="H150" s="41">
        <v>0</v>
      </c>
      <c r="I150" s="41"/>
      <c r="J150" s="41">
        <f t="shared" si="16"/>
        <v>3.46</v>
      </c>
      <c r="K150" s="83">
        <f t="shared" si="17"/>
        <v>2768</v>
      </c>
      <c r="L150" s="91">
        <v>10</v>
      </c>
      <c r="M150" s="60"/>
    </row>
    <row r="151" spans="1:13" ht="17.25" customHeight="1" x14ac:dyDescent="0.25">
      <c r="A151" s="37"/>
      <c r="B151" s="45"/>
      <c r="C151" s="16">
        <v>141</v>
      </c>
      <c r="D151" s="92" t="s">
        <v>167</v>
      </c>
      <c r="E151" s="25" t="s">
        <v>16</v>
      </c>
      <c r="F151" s="90">
        <v>0</v>
      </c>
      <c r="G151" s="93">
        <v>0</v>
      </c>
      <c r="H151" s="41">
        <v>0</v>
      </c>
      <c r="I151" s="41"/>
      <c r="J151" s="41">
        <f t="shared" si="16"/>
        <v>0</v>
      </c>
      <c r="K151" s="83">
        <f t="shared" si="17"/>
        <v>0</v>
      </c>
      <c r="L151" s="91"/>
      <c r="M151" s="60"/>
    </row>
    <row r="152" spans="1:13" ht="17.25" customHeight="1" x14ac:dyDescent="0.25">
      <c r="A152" s="37"/>
      <c r="B152" s="45"/>
      <c r="C152" s="16">
        <v>142</v>
      </c>
      <c r="D152" s="92" t="s">
        <v>168</v>
      </c>
      <c r="E152" s="25" t="s">
        <v>16</v>
      </c>
      <c r="F152" s="90">
        <v>0</v>
      </c>
      <c r="G152" s="93">
        <v>125.357175</v>
      </c>
      <c r="H152" s="41">
        <v>0</v>
      </c>
      <c r="I152" s="41"/>
      <c r="J152" s="41">
        <f t="shared" si="16"/>
        <v>125.357175</v>
      </c>
      <c r="K152" s="83">
        <f t="shared" si="17"/>
        <v>100285.74</v>
      </c>
      <c r="L152" s="91">
        <v>230</v>
      </c>
      <c r="M152" s="60"/>
    </row>
    <row r="153" spans="1:13" ht="17.25" customHeight="1" x14ac:dyDescent="0.25">
      <c r="A153" s="37"/>
      <c r="B153" s="45"/>
      <c r="C153" s="16">
        <v>143</v>
      </c>
      <c r="D153" s="92" t="s">
        <v>169</v>
      </c>
      <c r="E153" s="25" t="s">
        <v>16</v>
      </c>
      <c r="F153" s="90">
        <v>0</v>
      </c>
      <c r="G153" s="93">
        <v>32.746699999999997</v>
      </c>
      <c r="H153" s="41">
        <v>0</v>
      </c>
      <c r="I153" s="41"/>
      <c r="J153" s="41">
        <f t="shared" si="16"/>
        <v>32.746699999999997</v>
      </c>
      <c r="K153" s="83">
        <f t="shared" si="17"/>
        <v>26197.359999999997</v>
      </c>
      <c r="L153" s="91">
        <v>70</v>
      </c>
      <c r="M153" s="60"/>
    </row>
    <row r="154" spans="1:13" ht="17.25" customHeight="1" x14ac:dyDescent="0.25">
      <c r="A154" s="131" t="s">
        <v>46</v>
      </c>
      <c r="B154" s="132"/>
      <c r="C154" s="132"/>
      <c r="D154" s="132"/>
      <c r="E154" s="31"/>
      <c r="F154" s="32">
        <f>SUM(F114:F153)</f>
        <v>114.74640000000001</v>
      </c>
      <c r="G154" s="32">
        <f t="shared" ref="G154:L154" si="18">SUM(G114:G153)</f>
        <v>8644.7144583999998</v>
      </c>
      <c r="H154" s="32">
        <f t="shared" si="18"/>
        <v>153.2116</v>
      </c>
      <c r="I154" s="32"/>
      <c r="J154" s="33">
        <f>SUM(J114:J153)</f>
        <v>8912.6724583999967</v>
      </c>
      <c r="K154" s="32">
        <f>SUM(K108:K153)</f>
        <v>7041171.5667199995</v>
      </c>
      <c r="L154" s="32">
        <f t="shared" si="18"/>
        <v>5934</v>
      </c>
      <c r="M154" s="34"/>
    </row>
    <row r="155" spans="1:13" ht="17.25" customHeight="1" x14ac:dyDescent="0.25">
      <c r="A155" s="37" t="s">
        <v>170</v>
      </c>
      <c r="B155" s="38" t="s">
        <v>171</v>
      </c>
      <c r="C155" s="16">
        <v>144</v>
      </c>
      <c r="D155" s="102" t="s">
        <v>172</v>
      </c>
      <c r="E155" s="25" t="s">
        <v>16</v>
      </c>
      <c r="F155" s="41">
        <v>10</v>
      </c>
      <c r="G155" s="41">
        <v>121.28</v>
      </c>
      <c r="H155" s="45">
        <v>5</v>
      </c>
      <c r="I155" s="45"/>
      <c r="J155" s="82">
        <f>SUM(F155:H155)</f>
        <v>136.28</v>
      </c>
      <c r="K155" s="103">
        <f>800*G155</f>
        <v>97024</v>
      </c>
      <c r="L155" s="49">
        <v>113</v>
      </c>
      <c r="M155" s="60"/>
    </row>
    <row r="156" spans="1:13" ht="17.25" customHeight="1" x14ac:dyDescent="0.25">
      <c r="A156" s="37"/>
      <c r="B156" s="45"/>
      <c r="C156" s="16">
        <v>145</v>
      </c>
      <c r="D156" s="95" t="s">
        <v>173</v>
      </c>
      <c r="E156" s="25" t="s">
        <v>16</v>
      </c>
      <c r="F156" s="41">
        <v>4.5</v>
      </c>
      <c r="G156" s="41">
        <v>59.69</v>
      </c>
      <c r="H156" s="45">
        <v>1</v>
      </c>
      <c r="I156" s="45"/>
      <c r="J156" s="82">
        <f t="shared" ref="J156:J166" si="19">SUM(F156:H156)</f>
        <v>65.19</v>
      </c>
      <c r="K156" s="103">
        <f t="shared" ref="K156:K166" si="20">800*G156</f>
        <v>47752</v>
      </c>
      <c r="L156" s="49">
        <v>97</v>
      </c>
      <c r="M156" s="104"/>
    </row>
    <row r="157" spans="1:13" ht="17.25" customHeight="1" x14ac:dyDescent="0.25">
      <c r="A157" s="37"/>
      <c r="B157" s="45"/>
      <c r="C157" s="16">
        <v>146</v>
      </c>
      <c r="D157" s="95" t="s">
        <v>174</v>
      </c>
      <c r="E157" s="25" t="s">
        <v>16</v>
      </c>
      <c r="F157" s="41">
        <v>6</v>
      </c>
      <c r="G157" s="41">
        <v>89.5</v>
      </c>
      <c r="H157" s="45">
        <v>2</v>
      </c>
      <c r="I157" s="45"/>
      <c r="J157" s="82">
        <f t="shared" si="19"/>
        <v>97.5</v>
      </c>
      <c r="K157" s="103">
        <f t="shared" si="20"/>
        <v>71600</v>
      </c>
      <c r="L157" s="49">
        <v>135</v>
      </c>
      <c r="M157" s="60"/>
    </row>
    <row r="158" spans="1:13" ht="17.25" customHeight="1" x14ac:dyDescent="0.25">
      <c r="A158" s="37"/>
      <c r="B158" s="45"/>
      <c r="C158" s="16">
        <v>147</v>
      </c>
      <c r="D158" s="95" t="s">
        <v>175</v>
      </c>
      <c r="E158" s="25" t="s">
        <v>16</v>
      </c>
      <c r="F158" s="41">
        <v>10.5</v>
      </c>
      <c r="G158" s="41">
        <v>60.7</v>
      </c>
      <c r="H158" s="45">
        <v>0.5</v>
      </c>
      <c r="I158" s="45"/>
      <c r="J158" s="82">
        <f t="shared" si="19"/>
        <v>71.7</v>
      </c>
      <c r="K158" s="103">
        <f t="shared" si="20"/>
        <v>48560</v>
      </c>
      <c r="L158" s="49">
        <v>105</v>
      </c>
      <c r="M158" s="60"/>
    </row>
    <row r="159" spans="1:13" ht="17.25" customHeight="1" x14ac:dyDescent="0.25">
      <c r="A159" s="37"/>
      <c r="B159" s="45"/>
      <c r="C159" s="16">
        <v>148</v>
      </c>
      <c r="D159" s="95" t="s">
        <v>176</v>
      </c>
      <c r="E159" s="25" t="s">
        <v>16</v>
      </c>
      <c r="F159" s="41">
        <v>10.5</v>
      </c>
      <c r="G159" s="41">
        <v>136.30000000000001</v>
      </c>
      <c r="H159" s="45">
        <v>0.5</v>
      </c>
      <c r="I159" s="45"/>
      <c r="J159" s="82">
        <f t="shared" si="19"/>
        <v>147.30000000000001</v>
      </c>
      <c r="K159" s="103">
        <f t="shared" si="20"/>
        <v>109040.00000000001</v>
      </c>
      <c r="L159" s="49">
        <v>215</v>
      </c>
      <c r="M159" s="60"/>
    </row>
    <row r="160" spans="1:13" ht="17.25" customHeight="1" x14ac:dyDescent="0.25">
      <c r="A160" s="37"/>
      <c r="B160" s="45"/>
      <c r="C160" s="16">
        <v>149</v>
      </c>
      <c r="D160" s="95" t="s">
        <v>177</v>
      </c>
      <c r="E160" s="25" t="s">
        <v>16</v>
      </c>
      <c r="F160" s="41">
        <v>5</v>
      </c>
      <c r="G160" s="41">
        <v>57.68</v>
      </c>
      <c r="H160" s="45">
        <v>2.04</v>
      </c>
      <c r="I160" s="45"/>
      <c r="J160" s="82">
        <f t="shared" si="19"/>
        <v>64.72</v>
      </c>
      <c r="K160" s="103">
        <f t="shared" si="20"/>
        <v>46144</v>
      </c>
      <c r="L160" s="49">
        <v>120</v>
      </c>
      <c r="M160" s="60"/>
    </row>
    <row r="161" spans="1:14" ht="17.25" customHeight="1" x14ac:dyDescent="0.25">
      <c r="A161" s="37"/>
      <c r="B161" s="45"/>
      <c r="C161" s="16">
        <v>150</v>
      </c>
      <c r="D161" s="95" t="s">
        <v>178</v>
      </c>
      <c r="E161" s="25" t="s">
        <v>16</v>
      </c>
      <c r="F161" s="41">
        <v>8</v>
      </c>
      <c r="G161" s="41">
        <v>78.400000000000006</v>
      </c>
      <c r="H161" s="45">
        <v>1</v>
      </c>
      <c r="I161" s="45"/>
      <c r="J161" s="82">
        <f t="shared" si="19"/>
        <v>87.4</v>
      </c>
      <c r="K161" s="103">
        <f t="shared" si="20"/>
        <v>62720.000000000007</v>
      </c>
      <c r="L161" s="49">
        <v>103</v>
      </c>
      <c r="M161" s="60"/>
    </row>
    <row r="162" spans="1:14" ht="17.25" customHeight="1" x14ac:dyDescent="0.25">
      <c r="A162" s="37"/>
      <c r="B162" s="45"/>
      <c r="C162" s="16">
        <v>151</v>
      </c>
      <c r="D162" s="95" t="s">
        <v>179</v>
      </c>
      <c r="E162" s="25" t="s">
        <v>16</v>
      </c>
      <c r="F162" s="41">
        <v>7.5</v>
      </c>
      <c r="G162" s="41">
        <v>115.29</v>
      </c>
      <c r="H162" s="45">
        <v>0.5</v>
      </c>
      <c r="I162" s="45"/>
      <c r="J162" s="82">
        <f t="shared" si="19"/>
        <v>123.29</v>
      </c>
      <c r="K162" s="103">
        <f t="shared" si="20"/>
        <v>92232</v>
      </c>
      <c r="L162" s="49">
        <v>80</v>
      </c>
      <c r="M162" s="60"/>
    </row>
    <row r="163" spans="1:14" ht="17.25" customHeight="1" x14ac:dyDescent="0.25">
      <c r="A163" s="37"/>
      <c r="B163" s="45"/>
      <c r="C163" s="16">
        <v>152</v>
      </c>
      <c r="D163" s="95" t="s">
        <v>180</v>
      </c>
      <c r="E163" s="25" t="s">
        <v>16</v>
      </c>
      <c r="F163" s="41">
        <v>23.8</v>
      </c>
      <c r="G163" s="41">
        <v>153</v>
      </c>
      <c r="H163" s="45">
        <v>1.3</v>
      </c>
      <c r="I163" s="45"/>
      <c r="J163" s="82">
        <f t="shared" si="19"/>
        <v>178.10000000000002</v>
      </c>
      <c r="K163" s="103">
        <f t="shared" si="20"/>
        <v>122400</v>
      </c>
      <c r="L163" s="49">
        <v>143</v>
      </c>
      <c r="M163" s="60"/>
    </row>
    <row r="164" spans="1:14" ht="17.25" customHeight="1" x14ac:dyDescent="0.25">
      <c r="A164" s="37"/>
      <c r="B164" s="45"/>
      <c r="C164" s="16">
        <v>153</v>
      </c>
      <c r="D164" s="95" t="s">
        <v>181</v>
      </c>
      <c r="E164" s="25" t="s">
        <v>16</v>
      </c>
      <c r="F164" s="41">
        <v>12.5</v>
      </c>
      <c r="G164" s="41">
        <v>144</v>
      </c>
      <c r="H164" s="45">
        <v>1.5</v>
      </c>
      <c r="I164" s="45"/>
      <c r="J164" s="82">
        <f t="shared" si="19"/>
        <v>158</v>
      </c>
      <c r="K164" s="103">
        <f t="shared" si="20"/>
        <v>115200</v>
      </c>
      <c r="L164" s="49">
        <v>171</v>
      </c>
      <c r="M164" s="60"/>
    </row>
    <row r="165" spans="1:14" ht="17.25" customHeight="1" x14ac:dyDescent="0.25">
      <c r="A165" s="37"/>
      <c r="B165" s="45"/>
      <c r="C165" s="16">
        <v>154</v>
      </c>
      <c r="D165" s="95" t="s">
        <v>182</v>
      </c>
      <c r="E165" s="25" t="s">
        <v>16</v>
      </c>
      <c r="F165" s="41">
        <v>0</v>
      </c>
      <c r="G165" s="41">
        <v>68.53</v>
      </c>
      <c r="H165" s="45">
        <v>0</v>
      </c>
      <c r="I165" s="45"/>
      <c r="J165" s="82">
        <f t="shared" si="19"/>
        <v>68.53</v>
      </c>
      <c r="K165" s="103">
        <f t="shared" si="20"/>
        <v>54824</v>
      </c>
      <c r="L165" s="49">
        <v>97</v>
      </c>
      <c r="M165" s="60"/>
    </row>
    <row r="166" spans="1:14" ht="17.25" customHeight="1" x14ac:dyDescent="0.25">
      <c r="A166" s="37"/>
      <c r="B166" s="45"/>
      <c r="C166" s="16">
        <v>155</v>
      </c>
      <c r="D166" s="95" t="s">
        <v>183</v>
      </c>
      <c r="E166" s="25" t="s">
        <v>16</v>
      </c>
      <c r="F166" s="41">
        <v>0</v>
      </c>
      <c r="G166" s="41">
        <v>63.45</v>
      </c>
      <c r="H166" s="45">
        <v>0</v>
      </c>
      <c r="I166" s="45"/>
      <c r="J166" s="82">
        <f t="shared" si="19"/>
        <v>63.45</v>
      </c>
      <c r="K166" s="103">
        <f t="shared" si="20"/>
        <v>50760</v>
      </c>
      <c r="L166" s="49">
        <v>144</v>
      </c>
      <c r="M166" s="60"/>
    </row>
    <row r="167" spans="1:14" ht="17.25" customHeight="1" x14ac:dyDescent="0.25">
      <c r="A167" s="131" t="s">
        <v>46</v>
      </c>
      <c r="B167" s="132"/>
      <c r="C167" s="132"/>
      <c r="D167" s="132"/>
      <c r="E167" s="31"/>
      <c r="F167" s="32">
        <f>SUM(F155:F166)</f>
        <v>98.3</v>
      </c>
      <c r="G167" s="32">
        <f t="shared" ref="G167:L167" si="21">SUM(G155:G166)</f>
        <v>1147.82</v>
      </c>
      <c r="H167" s="32">
        <f t="shared" si="21"/>
        <v>15.34</v>
      </c>
      <c r="I167" s="32"/>
      <c r="J167" s="33">
        <f t="shared" si="21"/>
        <v>1261.46</v>
      </c>
      <c r="K167" s="32">
        <f>SUM(K155:K166)</f>
        <v>918256</v>
      </c>
      <c r="L167" s="32">
        <f t="shared" si="21"/>
        <v>1523</v>
      </c>
      <c r="M167" s="34"/>
      <c r="N167" s="35">
        <v>1110</v>
      </c>
    </row>
    <row r="168" spans="1:14" ht="17.25" customHeight="1" x14ac:dyDescent="0.25">
      <c r="A168" s="37" t="s">
        <v>184</v>
      </c>
      <c r="B168" s="38" t="s">
        <v>185</v>
      </c>
      <c r="C168" s="16">
        <v>156</v>
      </c>
      <c r="D168" s="24" t="s">
        <v>186</v>
      </c>
      <c r="E168" s="25" t="s">
        <v>16</v>
      </c>
      <c r="F168" s="105">
        <v>1</v>
      </c>
      <c r="G168" s="105">
        <v>18</v>
      </c>
      <c r="H168" s="105">
        <v>3.5</v>
      </c>
      <c r="I168" s="105"/>
      <c r="J168" s="82">
        <f>SUM(F168:H168)</f>
        <v>22.5</v>
      </c>
      <c r="K168" s="103">
        <f>900*G168</f>
        <v>16200</v>
      </c>
      <c r="L168" s="106">
        <v>16</v>
      </c>
      <c r="M168" s="60"/>
      <c r="N168" s="107">
        <f>J167</f>
        <v>1261.46</v>
      </c>
    </row>
    <row r="169" spans="1:14" ht="17.25" customHeight="1" x14ac:dyDescent="0.25">
      <c r="A169" s="37"/>
      <c r="B169" s="45"/>
      <c r="C169" s="16">
        <v>157</v>
      </c>
      <c r="D169" s="24" t="s">
        <v>187</v>
      </c>
      <c r="E169" s="25" t="s">
        <v>16</v>
      </c>
      <c r="F169" s="105">
        <v>0</v>
      </c>
      <c r="G169" s="105">
        <v>7.36</v>
      </c>
      <c r="H169" s="105">
        <v>2.69</v>
      </c>
      <c r="I169" s="105"/>
      <c r="J169" s="82">
        <f t="shared" ref="J169:J213" si="22">SUM(F169:H169)</f>
        <v>10.050000000000001</v>
      </c>
      <c r="K169" s="103">
        <f t="shared" ref="K169:K202" si="23">900*G169</f>
        <v>6624</v>
      </c>
      <c r="L169" s="106">
        <v>15</v>
      </c>
      <c r="M169" s="60"/>
      <c r="N169" s="108">
        <f>N168+N167</f>
        <v>2371.46</v>
      </c>
    </row>
    <row r="170" spans="1:14" ht="17.25" customHeight="1" x14ac:dyDescent="0.25">
      <c r="A170" s="37"/>
      <c r="B170" s="45"/>
      <c r="C170" s="16">
        <v>158</v>
      </c>
      <c r="D170" s="24" t="s">
        <v>188</v>
      </c>
      <c r="E170" s="25" t="s">
        <v>16</v>
      </c>
      <c r="F170" s="105">
        <v>0</v>
      </c>
      <c r="G170" s="105">
        <v>4</v>
      </c>
      <c r="H170" s="105">
        <v>1</v>
      </c>
      <c r="I170" s="105"/>
      <c r="J170" s="82">
        <f t="shared" si="22"/>
        <v>5</v>
      </c>
      <c r="K170" s="103">
        <f t="shared" si="23"/>
        <v>3600</v>
      </c>
      <c r="L170" s="106">
        <v>5</v>
      </c>
      <c r="M170" s="60"/>
    </row>
    <row r="171" spans="1:14" ht="17.25" customHeight="1" x14ac:dyDescent="0.25">
      <c r="A171" s="37"/>
      <c r="B171" s="45"/>
      <c r="C171" s="16">
        <v>159</v>
      </c>
      <c r="D171" s="24" t="s">
        <v>189</v>
      </c>
      <c r="E171" s="25" t="s">
        <v>16</v>
      </c>
      <c r="F171" s="105">
        <v>0</v>
      </c>
      <c r="G171" s="105">
        <v>3</v>
      </c>
      <c r="H171" s="105">
        <v>4</v>
      </c>
      <c r="I171" s="105"/>
      <c r="J171" s="82">
        <f t="shared" si="22"/>
        <v>7</v>
      </c>
      <c r="K171" s="103">
        <f t="shared" si="23"/>
        <v>2700</v>
      </c>
      <c r="L171" s="106">
        <v>11</v>
      </c>
      <c r="M171" s="60"/>
    </row>
    <row r="172" spans="1:14" ht="17.25" customHeight="1" x14ac:dyDescent="0.25">
      <c r="A172" s="37"/>
      <c r="B172" s="45"/>
      <c r="C172" s="16">
        <v>160</v>
      </c>
      <c r="D172" s="24" t="s">
        <v>190</v>
      </c>
      <c r="E172" s="25" t="s">
        <v>16</v>
      </c>
      <c r="F172" s="105">
        <v>0</v>
      </c>
      <c r="G172" s="105">
        <v>28</v>
      </c>
      <c r="H172" s="105">
        <v>6</v>
      </c>
      <c r="I172" s="105"/>
      <c r="J172" s="82">
        <f t="shared" si="22"/>
        <v>34</v>
      </c>
      <c r="K172" s="103">
        <f t="shared" si="23"/>
        <v>25200</v>
      </c>
      <c r="L172" s="106">
        <v>11</v>
      </c>
      <c r="M172" s="60"/>
    </row>
    <row r="173" spans="1:14" ht="17.25" customHeight="1" x14ac:dyDescent="0.25">
      <c r="A173" s="37"/>
      <c r="B173" s="45"/>
      <c r="C173" s="16">
        <v>161</v>
      </c>
      <c r="D173" s="24" t="s">
        <v>191</v>
      </c>
      <c r="E173" s="25" t="s">
        <v>16</v>
      </c>
      <c r="F173" s="105">
        <v>2.5</v>
      </c>
      <c r="G173" s="105">
        <v>18.5</v>
      </c>
      <c r="H173" s="105">
        <v>4</v>
      </c>
      <c r="I173" s="105"/>
      <c r="J173" s="82">
        <f t="shared" si="22"/>
        <v>25</v>
      </c>
      <c r="K173" s="103">
        <f t="shared" si="23"/>
        <v>16650</v>
      </c>
      <c r="L173" s="106">
        <v>44</v>
      </c>
      <c r="M173" s="60"/>
    </row>
    <row r="174" spans="1:14" ht="17.25" customHeight="1" x14ac:dyDescent="0.25">
      <c r="A174" s="37"/>
      <c r="B174" s="45"/>
      <c r="C174" s="16">
        <v>162</v>
      </c>
      <c r="D174" s="24" t="s">
        <v>192</v>
      </c>
      <c r="E174" s="25" t="s">
        <v>16</v>
      </c>
      <c r="F174" s="105">
        <v>1</v>
      </c>
      <c r="G174" s="105">
        <v>10</v>
      </c>
      <c r="H174" s="105">
        <v>0</v>
      </c>
      <c r="I174" s="105"/>
      <c r="J174" s="82">
        <f t="shared" si="22"/>
        <v>11</v>
      </c>
      <c r="K174" s="103">
        <f t="shared" si="23"/>
        <v>9000</v>
      </c>
      <c r="L174" s="106">
        <v>39</v>
      </c>
      <c r="M174" s="60"/>
    </row>
    <row r="175" spans="1:14" ht="17.25" customHeight="1" x14ac:dyDescent="0.25">
      <c r="A175" s="37"/>
      <c r="B175" s="45"/>
      <c r="C175" s="16">
        <v>163</v>
      </c>
      <c r="D175" s="24" t="s">
        <v>193</v>
      </c>
      <c r="E175" s="25" t="s">
        <v>16</v>
      </c>
      <c r="F175" s="105">
        <v>6</v>
      </c>
      <c r="G175" s="105">
        <v>21</v>
      </c>
      <c r="H175" s="105">
        <v>22.15</v>
      </c>
      <c r="I175" s="105"/>
      <c r="J175" s="82">
        <f t="shared" si="22"/>
        <v>49.15</v>
      </c>
      <c r="K175" s="103">
        <f t="shared" si="23"/>
        <v>18900</v>
      </c>
      <c r="L175" s="106">
        <v>73</v>
      </c>
      <c r="M175" s="60"/>
    </row>
    <row r="176" spans="1:14" ht="17.25" customHeight="1" x14ac:dyDescent="0.25">
      <c r="A176" s="37"/>
      <c r="B176" s="45"/>
      <c r="C176" s="16">
        <v>164</v>
      </c>
      <c r="D176" s="24" t="s">
        <v>194</v>
      </c>
      <c r="E176" s="25" t="s">
        <v>16</v>
      </c>
      <c r="F176" s="105">
        <v>4</v>
      </c>
      <c r="G176" s="105">
        <v>68</v>
      </c>
      <c r="H176" s="105">
        <v>11</v>
      </c>
      <c r="I176" s="105"/>
      <c r="J176" s="82">
        <f t="shared" si="22"/>
        <v>83</v>
      </c>
      <c r="K176" s="103">
        <f t="shared" si="23"/>
        <v>61200</v>
      </c>
      <c r="L176" s="106">
        <v>191</v>
      </c>
      <c r="M176" s="60"/>
    </row>
    <row r="177" spans="1:13" ht="17.25" customHeight="1" x14ac:dyDescent="0.25">
      <c r="A177" s="37"/>
      <c r="B177" s="45"/>
      <c r="C177" s="16">
        <v>165</v>
      </c>
      <c r="D177" s="24" t="s">
        <v>195</v>
      </c>
      <c r="E177" s="25" t="s">
        <v>16</v>
      </c>
      <c r="F177" s="105">
        <v>21</v>
      </c>
      <c r="G177" s="105">
        <v>217</v>
      </c>
      <c r="H177" s="105">
        <v>6</v>
      </c>
      <c r="I177" s="105"/>
      <c r="J177" s="82">
        <f t="shared" si="22"/>
        <v>244</v>
      </c>
      <c r="K177" s="103">
        <f t="shared" si="23"/>
        <v>195300</v>
      </c>
      <c r="L177" s="106">
        <v>103</v>
      </c>
      <c r="M177" s="60"/>
    </row>
    <row r="178" spans="1:13" ht="17.25" customHeight="1" x14ac:dyDescent="0.25">
      <c r="A178" s="37"/>
      <c r="B178" s="45"/>
      <c r="C178" s="16">
        <v>166</v>
      </c>
      <c r="D178" s="24" t="s">
        <v>196</v>
      </c>
      <c r="E178" s="25" t="s">
        <v>16</v>
      </c>
      <c r="F178" s="105">
        <v>0</v>
      </c>
      <c r="G178" s="105">
        <v>46</v>
      </c>
      <c r="H178" s="105">
        <v>46</v>
      </c>
      <c r="I178" s="105"/>
      <c r="J178" s="82">
        <f t="shared" si="22"/>
        <v>92</v>
      </c>
      <c r="K178" s="103">
        <f t="shared" si="23"/>
        <v>41400</v>
      </c>
      <c r="L178" s="106">
        <v>124</v>
      </c>
      <c r="M178" s="60"/>
    </row>
    <row r="179" spans="1:13" ht="17.25" customHeight="1" x14ac:dyDescent="0.25">
      <c r="A179" s="37"/>
      <c r="B179" s="45"/>
      <c r="C179" s="16">
        <v>167</v>
      </c>
      <c r="D179" s="24" t="s">
        <v>197</v>
      </c>
      <c r="E179" s="25" t="s">
        <v>16</v>
      </c>
      <c r="F179" s="105">
        <v>0</v>
      </c>
      <c r="G179" s="105">
        <v>161</v>
      </c>
      <c r="H179" s="105">
        <v>0</v>
      </c>
      <c r="I179" s="105"/>
      <c r="J179" s="82">
        <f t="shared" si="22"/>
        <v>161</v>
      </c>
      <c r="K179" s="103">
        <f t="shared" si="23"/>
        <v>144900</v>
      </c>
      <c r="L179" s="106">
        <v>101</v>
      </c>
      <c r="M179" s="60"/>
    </row>
    <row r="180" spans="1:13" ht="17.25" customHeight="1" x14ac:dyDescent="0.25">
      <c r="A180" s="37"/>
      <c r="B180" s="45"/>
      <c r="C180" s="16">
        <v>168</v>
      </c>
      <c r="D180" s="24" t="s">
        <v>198</v>
      </c>
      <c r="E180" s="25" t="s">
        <v>16</v>
      </c>
      <c r="F180" s="105">
        <v>5</v>
      </c>
      <c r="G180" s="105">
        <v>121</v>
      </c>
      <c r="H180" s="105">
        <v>11</v>
      </c>
      <c r="I180" s="105"/>
      <c r="J180" s="82">
        <f t="shared" si="22"/>
        <v>137</v>
      </c>
      <c r="K180" s="103">
        <f t="shared" si="23"/>
        <v>108900</v>
      </c>
      <c r="L180" s="106">
        <v>249</v>
      </c>
      <c r="M180" s="60"/>
    </row>
    <row r="181" spans="1:13" ht="17.25" customHeight="1" x14ac:dyDescent="0.25">
      <c r="A181" s="37"/>
      <c r="B181" s="45"/>
      <c r="C181" s="16">
        <v>169</v>
      </c>
      <c r="D181" s="24" t="s">
        <v>199</v>
      </c>
      <c r="E181" s="25" t="s">
        <v>16</v>
      </c>
      <c r="F181" s="105">
        <v>3</v>
      </c>
      <c r="G181" s="105">
        <v>11</v>
      </c>
      <c r="H181" s="105">
        <v>4</v>
      </c>
      <c r="I181" s="105"/>
      <c r="J181" s="82">
        <f t="shared" si="22"/>
        <v>18</v>
      </c>
      <c r="K181" s="103">
        <f t="shared" si="23"/>
        <v>9900</v>
      </c>
      <c r="L181" s="106">
        <v>46</v>
      </c>
      <c r="M181" s="60"/>
    </row>
    <row r="182" spans="1:13" ht="17.25" customHeight="1" x14ac:dyDescent="0.25">
      <c r="A182" s="37"/>
      <c r="B182" s="45"/>
      <c r="C182" s="16">
        <v>170</v>
      </c>
      <c r="D182" s="24" t="s">
        <v>200</v>
      </c>
      <c r="E182" s="25" t="s">
        <v>16</v>
      </c>
      <c r="F182" s="105">
        <v>2</v>
      </c>
      <c r="G182" s="105">
        <v>144</v>
      </c>
      <c r="H182" s="105">
        <v>5</v>
      </c>
      <c r="I182" s="105"/>
      <c r="J182" s="82">
        <f t="shared" si="22"/>
        <v>151</v>
      </c>
      <c r="K182" s="103">
        <f t="shared" si="23"/>
        <v>129600</v>
      </c>
      <c r="L182" s="106">
        <v>98</v>
      </c>
      <c r="M182" s="60"/>
    </row>
    <row r="183" spans="1:13" ht="17.25" customHeight="1" x14ac:dyDescent="0.25">
      <c r="A183" s="37"/>
      <c r="B183" s="45"/>
      <c r="C183" s="16">
        <v>171</v>
      </c>
      <c r="D183" s="24" t="s">
        <v>201</v>
      </c>
      <c r="E183" s="25" t="s">
        <v>16</v>
      </c>
      <c r="F183" s="105">
        <v>3</v>
      </c>
      <c r="G183" s="105">
        <v>32</v>
      </c>
      <c r="H183" s="105">
        <v>6</v>
      </c>
      <c r="I183" s="105"/>
      <c r="J183" s="82">
        <f t="shared" si="22"/>
        <v>41</v>
      </c>
      <c r="K183" s="103">
        <f t="shared" si="23"/>
        <v>28800</v>
      </c>
      <c r="L183" s="106">
        <v>39</v>
      </c>
      <c r="M183" s="60"/>
    </row>
    <row r="184" spans="1:13" ht="17.25" customHeight="1" x14ac:dyDescent="0.25">
      <c r="A184" s="37"/>
      <c r="B184" s="45"/>
      <c r="C184" s="16">
        <v>172</v>
      </c>
      <c r="D184" s="24" t="s">
        <v>202</v>
      </c>
      <c r="E184" s="25" t="s">
        <v>16</v>
      </c>
      <c r="F184" s="105">
        <v>2</v>
      </c>
      <c r="G184" s="105">
        <v>47</v>
      </c>
      <c r="H184" s="105">
        <v>4</v>
      </c>
      <c r="I184" s="105"/>
      <c r="J184" s="82">
        <f t="shared" si="22"/>
        <v>53</v>
      </c>
      <c r="K184" s="103">
        <f t="shared" si="23"/>
        <v>42300</v>
      </c>
      <c r="L184" s="106">
        <v>61</v>
      </c>
      <c r="M184" s="60"/>
    </row>
    <row r="185" spans="1:13" ht="17.25" customHeight="1" x14ac:dyDescent="0.25">
      <c r="A185" s="37"/>
      <c r="B185" s="45"/>
      <c r="C185" s="16">
        <v>173</v>
      </c>
      <c r="D185" s="24" t="s">
        <v>203</v>
      </c>
      <c r="E185" s="25" t="s">
        <v>16</v>
      </c>
      <c r="F185" s="105">
        <v>2</v>
      </c>
      <c r="G185" s="105">
        <v>27</v>
      </c>
      <c r="H185" s="105">
        <v>4</v>
      </c>
      <c r="I185" s="105"/>
      <c r="J185" s="82">
        <f t="shared" si="22"/>
        <v>33</v>
      </c>
      <c r="K185" s="103">
        <f t="shared" si="23"/>
        <v>24300</v>
      </c>
      <c r="L185" s="106">
        <v>47</v>
      </c>
      <c r="M185" s="60"/>
    </row>
    <row r="186" spans="1:13" ht="17.25" customHeight="1" x14ac:dyDescent="0.25">
      <c r="A186" s="37"/>
      <c r="B186" s="45"/>
      <c r="C186" s="16">
        <v>174</v>
      </c>
      <c r="D186" s="24" t="s">
        <v>204</v>
      </c>
      <c r="E186" s="25" t="s">
        <v>16</v>
      </c>
      <c r="F186" s="105">
        <v>3</v>
      </c>
      <c r="G186" s="105">
        <v>95.7</v>
      </c>
      <c r="H186" s="105">
        <v>6</v>
      </c>
      <c r="I186" s="105"/>
      <c r="J186" s="82">
        <f t="shared" si="22"/>
        <v>104.7</v>
      </c>
      <c r="K186" s="103">
        <f t="shared" si="23"/>
        <v>86130</v>
      </c>
      <c r="L186" s="106">
        <v>144</v>
      </c>
      <c r="M186" s="60"/>
    </row>
    <row r="187" spans="1:13" ht="17.25" customHeight="1" x14ac:dyDescent="0.25">
      <c r="A187" s="37"/>
      <c r="B187" s="45"/>
      <c r="C187" s="16">
        <v>175</v>
      </c>
      <c r="D187" s="24" t="s">
        <v>205</v>
      </c>
      <c r="E187" s="25" t="s">
        <v>16</v>
      </c>
      <c r="F187" s="105">
        <v>11</v>
      </c>
      <c r="G187" s="105">
        <v>202</v>
      </c>
      <c r="H187" s="105">
        <v>21</v>
      </c>
      <c r="I187" s="105"/>
      <c r="J187" s="82">
        <f t="shared" si="22"/>
        <v>234</v>
      </c>
      <c r="K187" s="103">
        <f t="shared" si="23"/>
        <v>181800</v>
      </c>
      <c r="L187" s="106">
        <v>266</v>
      </c>
      <c r="M187" s="60"/>
    </row>
    <row r="188" spans="1:13" ht="17.25" customHeight="1" x14ac:dyDescent="0.25">
      <c r="A188" s="37"/>
      <c r="B188" s="45"/>
      <c r="C188" s="16">
        <v>176</v>
      </c>
      <c r="D188" s="24" t="s">
        <v>206</v>
      </c>
      <c r="E188" s="25" t="s">
        <v>16</v>
      </c>
      <c r="F188" s="105">
        <v>2.5</v>
      </c>
      <c r="G188" s="105">
        <v>113.5</v>
      </c>
      <c r="H188" s="105">
        <v>56</v>
      </c>
      <c r="I188" s="105"/>
      <c r="J188" s="82">
        <f t="shared" si="22"/>
        <v>172</v>
      </c>
      <c r="K188" s="103">
        <f t="shared" si="23"/>
        <v>102150</v>
      </c>
      <c r="L188" s="106">
        <v>212</v>
      </c>
      <c r="M188" s="60"/>
    </row>
    <row r="189" spans="1:13" ht="17.25" customHeight="1" x14ac:dyDescent="0.25">
      <c r="A189" s="37"/>
      <c r="B189" s="45"/>
      <c r="C189" s="16">
        <v>177</v>
      </c>
      <c r="D189" s="24" t="s">
        <v>207</v>
      </c>
      <c r="E189" s="25" t="s">
        <v>16</v>
      </c>
      <c r="F189" s="105">
        <v>21</v>
      </c>
      <c r="G189" s="105">
        <v>42.85</v>
      </c>
      <c r="H189" s="105"/>
      <c r="I189" s="105"/>
      <c r="J189" s="82">
        <f t="shared" si="22"/>
        <v>63.85</v>
      </c>
      <c r="K189" s="103">
        <f t="shared" si="23"/>
        <v>38565</v>
      </c>
      <c r="L189" s="106">
        <v>90</v>
      </c>
      <c r="M189" s="60"/>
    </row>
    <row r="190" spans="1:13" ht="17.25" customHeight="1" x14ac:dyDescent="0.25">
      <c r="A190" s="37"/>
      <c r="B190" s="45"/>
      <c r="C190" s="16">
        <v>178</v>
      </c>
      <c r="D190" s="24" t="s">
        <v>208</v>
      </c>
      <c r="E190" s="25" t="s">
        <v>16</v>
      </c>
      <c r="F190" s="105">
        <v>3</v>
      </c>
      <c r="G190" s="105">
        <v>56.25</v>
      </c>
      <c r="H190" s="105">
        <v>3</v>
      </c>
      <c r="I190" s="105"/>
      <c r="J190" s="82">
        <f t="shared" si="22"/>
        <v>62.25</v>
      </c>
      <c r="K190" s="103">
        <f t="shared" si="23"/>
        <v>50625</v>
      </c>
      <c r="L190" s="106">
        <v>87</v>
      </c>
      <c r="M190" s="60"/>
    </row>
    <row r="191" spans="1:13" ht="17.25" customHeight="1" x14ac:dyDescent="0.25">
      <c r="A191" s="37"/>
      <c r="B191" s="45"/>
      <c r="C191" s="16">
        <v>179</v>
      </c>
      <c r="D191" s="24" t="s">
        <v>209</v>
      </c>
      <c r="E191" s="25" t="s">
        <v>16</v>
      </c>
      <c r="F191" s="105">
        <v>6</v>
      </c>
      <c r="G191" s="105">
        <v>186</v>
      </c>
      <c r="H191" s="105">
        <v>12</v>
      </c>
      <c r="I191" s="105"/>
      <c r="J191" s="82">
        <f t="shared" si="22"/>
        <v>204</v>
      </c>
      <c r="K191" s="103">
        <f t="shared" si="23"/>
        <v>167400</v>
      </c>
      <c r="L191" s="106">
        <v>150</v>
      </c>
      <c r="M191" s="60"/>
    </row>
    <row r="192" spans="1:13" ht="17.25" customHeight="1" x14ac:dyDescent="0.25">
      <c r="A192" s="37"/>
      <c r="B192" s="45"/>
      <c r="C192" s="16">
        <v>180</v>
      </c>
      <c r="D192" s="24" t="s">
        <v>210</v>
      </c>
      <c r="E192" s="25" t="s">
        <v>16</v>
      </c>
      <c r="F192" s="105">
        <v>0</v>
      </c>
      <c r="G192" s="105">
        <v>68</v>
      </c>
      <c r="H192" s="105">
        <v>0</v>
      </c>
      <c r="I192" s="105"/>
      <c r="J192" s="82">
        <f t="shared" si="22"/>
        <v>68</v>
      </c>
      <c r="K192" s="103">
        <f t="shared" si="23"/>
        <v>61200</v>
      </c>
      <c r="L192" s="106">
        <v>140</v>
      </c>
      <c r="M192" s="60"/>
    </row>
    <row r="193" spans="1:14" ht="17.25" customHeight="1" x14ac:dyDescent="0.25">
      <c r="A193" s="37"/>
      <c r="B193" s="45"/>
      <c r="C193" s="16">
        <v>181</v>
      </c>
      <c r="D193" s="24" t="s">
        <v>211</v>
      </c>
      <c r="E193" s="25" t="s">
        <v>16</v>
      </c>
      <c r="F193" s="105">
        <v>11</v>
      </c>
      <c r="G193" s="105">
        <v>87</v>
      </c>
      <c r="H193" s="105">
        <v>7</v>
      </c>
      <c r="I193" s="105"/>
      <c r="J193" s="82">
        <f t="shared" si="22"/>
        <v>105</v>
      </c>
      <c r="K193" s="103">
        <f t="shared" si="23"/>
        <v>78300</v>
      </c>
      <c r="L193" s="106">
        <v>73</v>
      </c>
      <c r="M193" s="60"/>
    </row>
    <row r="194" spans="1:14" ht="17.25" customHeight="1" x14ac:dyDescent="0.25">
      <c r="A194" s="37"/>
      <c r="B194" s="45"/>
      <c r="C194" s="16">
        <v>182</v>
      </c>
      <c r="D194" s="24" t="s">
        <v>212</v>
      </c>
      <c r="E194" s="25" t="s">
        <v>16</v>
      </c>
      <c r="F194" s="105">
        <v>6</v>
      </c>
      <c r="G194" s="105">
        <v>12</v>
      </c>
      <c r="H194" s="105">
        <v>12</v>
      </c>
      <c r="I194" s="105"/>
      <c r="J194" s="82">
        <f t="shared" si="22"/>
        <v>30</v>
      </c>
      <c r="K194" s="103">
        <f t="shared" si="23"/>
        <v>10800</v>
      </c>
      <c r="L194" s="106">
        <v>81</v>
      </c>
      <c r="M194" s="60"/>
    </row>
    <row r="195" spans="1:14" ht="17.25" customHeight="1" x14ac:dyDescent="0.25">
      <c r="A195" s="37"/>
      <c r="B195" s="45"/>
      <c r="C195" s="16">
        <v>183</v>
      </c>
      <c r="D195" s="24" t="s">
        <v>213</v>
      </c>
      <c r="E195" s="25" t="s">
        <v>16</v>
      </c>
      <c r="F195" s="105">
        <v>5</v>
      </c>
      <c r="G195" s="105">
        <v>138</v>
      </c>
      <c r="H195" s="105">
        <v>12</v>
      </c>
      <c r="I195" s="105"/>
      <c r="J195" s="82">
        <f t="shared" si="22"/>
        <v>155</v>
      </c>
      <c r="K195" s="103">
        <f t="shared" si="23"/>
        <v>124200</v>
      </c>
      <c r="L195" s="106">
        <v>170</v>
      </c>
      <c r="M195" s="60"/>
    </row>
    <row r="196" spans="1:14" ht="17.25" customHeight="1" x14ac:dyDescent="0.25">
      <c r="A196" s="37"/>
      <c r="B196" s="45"/>
      <c r="C196" s="16">
        <v>184</v>
      </c>
      <c r="D196" s="24" t="s">
        <v>214</v>
      </c>
      <c r="E196" s="25" t="s">
        <v>16</v>
      </c>
      <c r="F196" s="105">
        <v>2</v>
      </c>
      <c r="G196" s="105">
        <v>241</v>
      </c>
      <c r="H196" s="105">
        <v>12</v>
      </c>
      <c r="I196" s="105"/>
      <c r="J196" s="82">
        <f t="shared" si="22"/>
        <v>255</v>
      </c>
      <c r="K196" s="103">
        <f t="shared" si="23"/>
        <v>216900</v>
      </c>
      <c r="L196" s="106">
        <v>211</v>
      </c>
      <c r="M196" s="60"/>
    </row>
    <row r="197" spans="1:14" ht="17.25" customHeight="1" x14ac:dyDescent="0.25">
      <c r="A197" s="37"/>
      <c r="B197" s="45"/>
      <c r="C197" s="16">
        <v>185</v>
      </c>
      <c r="D197" s="24" t="s">
        <v>215</v>
      </c>
      <c r="E197" s="25" t="s">
        <v>16</v>
      </c>
      <c r="F197" s="105">
        <v>26</v>
      </c>
      <c r="G197" s="105">
        <v>47</v>
      </c>
      <c r="H197" s="105">
        <v>52</v>
      </c>
      <c r="I197" s="105"/>
      <c r="J197" s="82">
        <f t="shared" si="22"/>
        <v>125</v>
      </c>
      <c r="K197" s="103">
        <f t="shared" si="23"/>
        <v>42300</v>
      </c>
      <c r="L197" s="106">
        <v>99</v>
      </c>
      <c r="M197" s="60"/>
    </row>
    <row r="198" spans="1:14" ht="17.25" customHeight="1" x14ac:dyDescent="0.25">
      <c r="A198" s="37"/>
      <c r="B198" s="45"/>
      <c r="C198" s="16">
        <v>186</v>
      </c>
      <c r="D198" s="24" t="s">
        <v>216</v>
      </c>
      <c r="E198" s="25" t="s">
        <v>16</v>
      </c>
      <c r="F198" s="105">
        <v>16</v>
      </c>
      <c r="G198" s="105">
        <v>105</v>
      </c>
      <c r="H198" s="105">
        <v>17</v>
      </c>
      <c r="I198" s="105"/>
      <c r="J198" s="82">
        <f t="shared" si="22"/>
        <v>138</v>
      </c>
      <c r="K198" s="103">
        <f t="shared" si="23"/>
        <v>94500</v>
      </c>
      <c r="L198" s="106">
        <v>226</v>
      </c>
      <c r="M198" s="60"/>
    </row>
    <row r="199" spans="1:14" ht="17.25" customHeight="1" x14ac:dyDescent="0.25">
      <c r="A199" s="37"/>
      <c r="B199" s="45"/>
      <c r="C199" s="16">
        <v>187</v>
      </c>
      <c r="D199" s="24" t="s">
        <v>217</v>
      </c>
      <c r="E199" s="25" t="s">
        <v>16</v>
      </c>
      <c r="F199" s="105">
        <v>3</v>
      </c>
      <c r="G199" s="105">
        <v>695</v>
      </c>
      <c r="H199" s="105">
        <v>206</v>
      </c>
      <c r="I199" s="105"/>
      <c r="J199" s="82">
        <f t="shared" si="22"/>
        <v>904</v>
      </c>
      <c r="K199" s="103">
        <f t="shared" si="23"/>
        <v>625500</v>
      </c>
      <c r="L199" s="106">
        <v>132</v>
      </c>
      <c r="M199" s="60"/>
    </row>
    <row r="200" spans="1:14" ht="17.25" customHeight="1" x14ac:dyDescent="0.25">
      <c r="A200" s="37"/>
      <c r="B200" s="45"/>
      <c r="C200" s="16">
        <v>188</v>
      </c>
      <c r="D200" s="24" t="s">
        <v>218</v>
      </c>
      <c r="E200" s="25" t="s">
        <v>16</v>
      </c>
      <c r="F200" s="105">
        <v>11.4</v>
      </c>
      <c r="G200" s="105">
        <v>88.95</v>
      </c>
      <c r="H200" s="105">
        <v>11</v>
      </c>
      <c r="I200" s="105"/>
      <c r="J200" s="82">
        <f t="shared" si="22"/>
        <v>111.35000000000001</v>
      </c>
      <c r="K200" s="103">
        <f t="shared" si="23"/>
        <v>80055</v>
      </c>
      <c r="L200" s="106">
        <v>177</v>
      </c>
      <c r="M200" s="60"/>
    </row>
    <row r="201" spans="1:14" ht="17.25" customHeight="1" x14ac:dyDescent="0.25">
      <c r="A201" s="37"/>
      <c r="B201" s="45"/>
      <c r="C201" s="16">
        <v>189</v>
      </c>
      <c r="D201" s="24" t="s">
        <v>219</v>
      </c>
      <c r="E201" s="25" t="s">
        <v>16</v>
      </c>
      <c r="F201" s="105">
        <v>7</v>
      </c>
      <c r="G201" s="105">
        <v>184</v>
      </c>
      <c r="H201" s="105">
        <v>5</v>
      </c>
      <c r="I201" s="105"/>
      <c r="J201" s="82">
        <f t="shared" si="22"/>
        <v>196</v>
      </c>
      <c r="K201" s="103">
        <f t="shared" si="23"/>
        <v>165600</v>
      </c>
      <c r="L201" s="106">
        <v>245</v>
      </c>
      <c r="M201" s="60"/>
    </row>
    <row r="202" spans="1:14" ht="17.25" customHeight="1" x14ac:dyDescent="0.25">
      <c r="A202" s="37"/>
      <c r="B202" s="45"/>
      <c r="C202" s="16">
        <v>190</v>
      </c>
      <c r="D202" s="24" t="s">
        <v>220</v>
      </c>
      <c r="E202" s="25" t="s">
        <v>16</v>
      </c>
      <c r="F202" s="105">
        <v>42.75</v>
      </c>
      <c r="G202" s="105">
        <v>250.64</v>
      </c>
      <c r="H202" s="105">
        <v>3</v>
      </c>
      <c r="I202" s="105"/>
      <c r="J202" s="82">
        <f t="shared" si="22"/>
        <v>296.39</v>
      </c>
      <c r="K202" s="103">
        <f t="shared" si="23"/>
        <v>225576</v>
      </c>
      <c r="L202" s="106">
        <v>272</v>
      </c>
      <c r="M202" s="60"/>
    </row>
    <row r="203" spans="1:14" ht="17.25" customHeight="1" x14ac:dyDescent="0.25">
      <c r="A203" s="131" t="s">
        <v>46</v>
      </c>
      <c r="B203" s="132"/>
      <c r="C203" s="132"/>
      <c r="D203" s="132"/>
      <c r="E203" s="31"/>
      <c r="F203" s="32">
        <f>SUM(F168:F202)</f>
        <v>229.15</v>
      </c>
      <c r="G203" s="32">
        <f t="shared" ref="G203:L203" si="24">SUM(G168:G202)</f>
        <v>3596.7499999999995</v>
      </c>
      <c r="H203" s="32">
        <f t="shared" si="24"/>
        <v>575.34</v>
      </c>
      <c r="I203" s="32"/>
      <c r="J203" s="33">
        <f t="shared" si="24"/>
        <v>4401.2400000000007</v>
      </c>
      <c r="K203" s="32">
        <f>SUM(K168:K202)</f>
        <v>3237075</v>
      </c>
      <c r="L203" s="32">
        <f t="shared" si="24"/>
        <v>4048</v>
      </c>
      <c r="M203" s="34"/>
      <c r="N203" s="1">
        <v>1110</v>
      </c>
    </row>
    <row r="204" spans="1:14" s="114" customFormat="1" ht="17.25" customHeight="1" x14ac:dyDescent="0.25">
      <c r="A204" s="22" t="s">
        <v>221</v>
      </c>
      <c r="B204" s="109" t="s">
        <v>222</v>
      </c>
      <c r="C204" s="23">
        <v>191</v>
      </c>
      <c r="D204" s="27" t="s">
        <v>223</v>
      </c>
      <c r="E204" s="25" t="s">
        <v>16</v>
      </c>
      <c r="F204" s="110">
        <v>10</v>
      </c>
      <c r="G204" s="110">
        <v>26</v>
      </c>
      <c r="H204" s="110">
        <v>15</v>
      </c>
      <c r="I204" s="110"/>
      <c r="J204" s="111">
        <f t="shared" si="22"/>
        <v>51</v>
      </c>
      <c r="K204" s="103">
        <v>15105</v>
      </c>
      <c r="L204" s="103">
        <v>360</v>
      </c>
      <c r="M204" s="112"/>
      <c r="N204" s="113">
        <v>429374</v>
      </c>
    </row>
    <row r="205" spans="1:14" s="114" customFormat="1" ht="17.25" customHeight="1" x14ac:dyDescent="0.25">
      <c r="A205" s="22"/>
      <c r="B205" s="115"/>
      <c r="C205" s="23">
        <v>192</v>
      </c>
      <c r="D205" s="27" t="s">
        <v>224</v>
      </c>
      <c r="E205" s="25" t="s">
        <v>16</v>
      </c>
      <c r="F205" s="110">
        <v>79</v>
      </c>
      <c r="G205" s="110">
        <v>452</v>
      </c>
      <c r="H205" s="110">
        <v>21</v>
      </c>
      <c r="I205" s="110"/>
      <c r="J205" s="111">
        <f t="shared" si="22"/>
        <v>552</v>
      </c>
      <c r="K205" s="103">
        <v>95158</v>
      </c>
      <c r="L205" s="103">
        <v>153</v>
      </c>
      <c r="M205" s="112"/>
      <c r="N205" s="116">
        <f>N204+N203</f>
        <v>430484</v>
      </c>
    </row>
    <row r="206" spans="1:14" s="114" customFormat="1" ht="17.25" customHeight="1" x14ac:dyDescent="0.25">
      <c r="A206" s="22"/>
      <c r="B206" s="115"/>
      <c r="C206" s="23">
        <v>193</v>
      </c>
      <c r="D206" s="27" t="s">
        <v>222</v>
      </c>
      <c r="E206" s="25" t="s">
        <v>16</v>
      </c>
      <c r="F206" s="110">
        <v>121</v>
      </c>
      <c r="G206" s="110">
        <v>142</v>
      </c>
      <c r="H206" s="110">
        <v>81</v>
      </c>
      <c r="I206" s="110"/>
      <c r="J206" s="111">
        <f t="shared" si="22"/>
        <v>344</v>
      </c>
      <c r="K206" s="103">
        <v>102000</v>
      </c>
      <c r="L206" s="103">
        <v>196</v>
      </c>
      <c r="M206" s="112"/>
    </row>
    <row r="207" spans="1:14" s="114" customFormat="1" ht="17.25" customHeight="1" x14ac:dyDescent="0.25">
      <c r="A207" s="22"/>
      <c r="B207" s="115"/>
      <c r="C207" s="23">
        <v>194</v>
      </c>
      <c r="D207" s="27" t="s">
        <v>225</v>
      </c>
      <c r="E207" s="25" t="s">
        <v>16</v>
      </c>
      <c r="F207" s="110">
        <v>9</v>
      </c>
      <c r="G207" s="110">
        <v>331</v>
      </c>
      <c r="H207" s="110">
        <v>24</v>
      </c>
      <c r="I207" s="110"/>
      <c r="J207" s="111">
        <f t="shared" si="22"/>
        <v>364</v>
      </c>
      <c r="K207" s="103">
        <v>262500</v>
      </c>
      <c r="L207" s="103">
        <v>104</v>
      </c>
      <c r="M207" s="112"/>
    </row>
    <row r="208" spans="1:14" s="114" customFormat="1" ht="17.25" customHeight="1" x14ac:dyDescent="0.25">
      <c r="A208" s="22"/>
      <c r="B208" s="115"/>
      <c r="C208" s="23">
        <v>195</v>
      </c>
      <c r="D208" s="27" t="s">
        <v>226</v>
      </c>
      <c r="E208" s="25" t="s">
        <v>16</v>
      </c>
      <c r="F208" s="110">
        <v>8</v>
      </c>
      <c r="G208" s="110">
        <v>25.11</v>
      </c>
      <c r="H208" s="110">
        <v>8</v>
      </c>
      <c r="I208" s="110"/>
      <c r="J208" s="111">
        <f t="shared" si="22"/>
        <v>41.11</v>
      </c>
      <c r="K208" s="103">
        <v>18600</v>
      </c>
      <c r="L208" s="103">
        <v>26</v>
      </c>
      <c r="M208" s="112"/>
    </row>
    <row r="209" spans="1:13" s="114" customFormat="1" ht="17.25" customHeight="1" x14ac:dyDescent="0.25">
      <c r="A209" s="22"/>
      <c r="B209" s="115"/>
      <c r="C209" s="23">
        <v>196</v>
      </c>
      <c r="D209" s="27" t="s">
        <v>227</v>
      </c>
      <c r="E209" s="25" t="s">
        <v>16</v>
      </c>
      <c r="F209" s="110">
        <v>6</v>
      </c>
      <c r="G209" s="110">
        <v>38</v>
      </c>
      <c r="H209" s="110">
        <v>8</v>
      </c>
      <c r="I209" s="110"/>
      <c r="J209" s="111">
        <f t="shared" si="22"/>
        <v>52</v>
      </c>
      <c r="K209" s="103">
        <v>18000</v>
      </c>
      <c r="L209" s="103">
        <v>38</v>
      </c>
      <c r="M209" s="112"/>
    </row>
    <row r="210" spans="1:13" s="114" customFormat="1" ht="17.25" customHeight="1" x14ac:dyDescent="0.25">
      <c r="A210" s="22"/>
      <c r="B210" s="115"/>
      <c r="C210" s="23">
        <v>197</v>
      </c>
      <c r="D210" s="27" t="s">
        <v>14</v>
      </c>
      <c r="E210" s="25" t="s">
        <v>16</v>
      </c>
      <c r="F210" s="110">
        <v>8</v>
      </c>
      <c r="G210" s="110">
        <v>41.36</v>
      </c>
      <c r="H210" s="110">
        <v>9</v>
      </c>
      <c r="I210" s="110"/>
      <c r="J210" s="111">
        <f t="shared" si="22"/>
        <v>58.36</v>
      </c>
      <c r="K210" s="103">
        <v>37566</v>
      </c>
      <c r="L210" s="103">
        <v>104</v>
      </c>
      <c r="M210" s="112"/>
    </row>
    <row r="211" spans="1:13" s="114" customFormat="1" ht="17.25" customHeight="1" x14ac:dyDescent="0.25">
      <c r="A211" s="22"/>
      <c r="B211" s="115"/>
      <c r="C211" s="23">
        <v>198</v>
      </c>
      <c r="D211" s="27" t="s">
        <v>228</v>
      </c>
      <c r="E211" s="25" t="s">
        <v>16</v>
      </c>
      <c r="F211" s="110">
        <v>11</v>
      </c>
      <c r="G211" s="110">
        <v>103</v>
      </c>
      <c r="H211" s="110">
        <v>16</v>
      </c>
      <c r="I211" s="110"/>
      <c r="J211" s="111">
        <f t="shared" si="22"/>
        <v>130</v>
      </c>
      <c r="K211" s="103">
        <v>71400</v>
      </c>
      <c r="L211" s="103">
        <v>101</v>
      </c>
      <c r="M211" s="112"/>
    </row>
    <row r="212" spans="1:13" s="114" customFormat="1" ht="17.25" customHeight="1" x14ac:dyDescent="0.25">
      <c r="A212" s="22"/>
      <c r="B212" s="115"/>
      <c r="C212" s="23">
        <v>199</v>
      </c>
      <c r="D212" s="27" t="s">
        <v>229</v>
      </c>
      <c r="E212" s="25" t="s">
        <v>16</v>
      </c>
      <c r="F212" s="110">
        <v>23</v>
      </c>
      <c r="G212" s="110">
        <v>313</v>
      </c>
      <c r="H212" s="110">
        <v>24</v>
      </c>
      <c r="I212" s="110"/>
      <c r="J212" s="111">
        <f t="shared" si="22"/>
        <v>360</v>
      </c>
      <c r="K212" s="103">
        <v>140400</v>
      </c>
      <c r="L212" s="103">
        <v>412</v>
      </c>
      <c r="M212" s="112"/>
    </row>
    <row r="213" spans="1:13" s="114" customFormat="1" ht="17.25" customHeight="1" x14ac:dyDescent="0.25">
      <c r="A213" s="22"/>
      <c r="B213" s="115"/>
      <c r="C213" s="23">
        <v>200</v>
      </c>
      <c r="D213" s="27" t="s">
        <v>230</v>
      </c>
      <c r="E213" s="25" t="s">
        <v>16</v>
      </c>
      <c r="F213" s="110">
        <v>26</v>
      </c>
      <c r="G213" s="110">
        <v>802</v>
      </c>
      <c r="H213" s="110">
        <v>51</v>
      </c>
      <c r="I213" s="110"/>
      <c r="J213" s="111">
        <f t="shared" si="22"/>
        <v>879</v>
      </c>
      <c r="K213" s="103">
        <v>637500</v>
      </c>
      <c r="L213" s="103">
        <v>183</v>
      </c>
      <c r="M213" s="112"/>
    </row>
    <row r="214" spans="1:13" ht="17.25" customHeight="1" x14ac:dyDescent="0.25">
      <c r="A214" s="131" t="s">
        <v>46</v>
      </c>
      <c r="B214" s="132"/>
      <c r="C214" s="132"/>
      <c r="D214" s="132"/>
      <c r="E214" s="31"/>
      <c r="F214" s="32">
        <f>SUM(F204:F213)</f>
        <v>301</v>
      </c>
      <c r="G214" s="32">
        <f t="shared" ref="G214:L214" si="25">SUM(G204:G213)</f>
        <v>2273.4700000000003</v>
      </c>
      <c r="H214" s="32">
        <f t="shared" si="25"/>
        <v>257</v>
      </c>
      <c r="I214" s="32"/>
      <c r="J214" s="33">
        <f t="shared" si="25"/>
        <v>2831.47</v>
      </c>
      <c r="K214" s="32">
        <f>SUM(K204:K213)</f>
        <v>1398229</v>
      </c>
      <c r="L214" s="32">
        <f t="shared" si="25"/>
        <v>1677</v>
      </c>
      <c r="M214" s="34"/>
    </row>
    <row r="215" spans="1:13" ht="17.25" customHeight="1" x14ac:dyDescent="0.25">
      <c r="A215" s="37" t="s">
        <v>231</v>
      </c>
      <c r="B215" s="38" t="s">
        <v>232</v>
      </c>
      <c r="C215" s="16">
        <v>201</v>
      </c>
      <c r="D215" s="95" t="s">
        <v>233</v>
      </c>
      <c r="E215" s="25" t="s">
        <v>16</v>
      </c>
      <c r="F215" s="98">
        <v>10.5</v>
      </c>
      <c r="G215" s="98">
        <v>451.5</v>
      </c>
      <c r="H215" s="98">
        <v>52.5</v>
      </c>
      <c r="I215" s="98"/>
      <c r="J215" s="98">
        <f>SUM(F215:H215)</f>
        <v>514.5</v>
      </c>
      <c r="K215" s="117">
        <f>SUM(451.5*650)</f>
        <v>293475</v>
      </c>
      <c r="L215" s="91">
        <v>176</v>
      </c>
      <c r="M215" s="60"/>
    </row>
    <row r="216" spans="1:13" ht="17.25" customHeight="1" x14ac:dyDescent="0.25">
      <c r="A216" s="37"/>
      <c r="B216" s="45"/>
      <c r="C216" s="16">
        <v>202</v>
      </c>
      <c r="D216" s="95" t="s">
        <v>234</v>
      </c>
      <c r="E216" s="25" t="s">
        <v>16</v>
      </c>
      <c r="F216" s="98">
        <v>51</v>
      </c>
      <c r="G216" s="98">
        <v>215</v>
      </c>
      <c r="H216" s="98">
        <v>15</v>
      </c>
      <c r="I216" s="98"/>
      <c r="J216" s="98">
        <f t="shared" ref="J216:J234" si="26">SUM(F216:H216)</f>
        <v>281</v>
      </c>
      <c r="K216" s="117">
        <f>SUM(215*700)</f>
        <v>150500</v>
      </c>
      <c r="L216" s="118">
        <v>117</v>
      </c>
      <c r="M216" s="119"/>
    </row>
    <row r="217" spans="1:13" ht="17.25" customHeight="1" x14ac:dyDescent="0.25">
      <c r="A217" s="37"/>
      <c r="B217" s="45"/>
      <c r="C217" s="16">
        <v>203</v>
      </c>
      <c r="D217" s="95" t="s">
        <v>235</v>
      </c>
      <c r="E217" s="25" t="s">
        <v>16</v>
      </c>
      <c r="F217" s="98">
        <v>10</v>
      </c>
      <c r="G217" s="98">
        <v>33</v>
      </c>
      <c r="H217" s="98">
        <v>12</v>
      </c>
      <c r="I217" s="98"/>
      <c r="J217" s="98">
        <f t="shared" si="26"/>
        <v>55</v>
      </c>
      <c r="K217" s="120">
        <f>650*G217</f>
        <v>21450</v>
      </c>
      <c r="L217" s="118">
        <v>35</v>
      </c>
      <c r="M217" s="119"/>
    </row>
    <row r="218" spans="1:13" ht="17.25" customHeight="1" x14ac:dyDescent="0.25">
      <c r="A218" s="37"/>
      <c r="B218" s="45"/>
      <c r="C218" s="16">
        <v>204</v>
      </c>
      <c r="D218" s="95" t="s">
        <v>236</v>
      </c>
      <c r="E218" s="25" t="s">
        <v>16</v>
      </c>
      <c r="F218" s="98">
        <v>0</v>
      </c>
      <c r="G218" s="98">
        <v>48</v>
      </c>
      <c r="H218" s="98">
        <v>22</v>
      </c>
      <c r="I218" s="98"/>
      <c r="J218" s="98">
        <f t="shared" si="26"/>
        <v>70</v>
      </c>
      <c r="K218" s="120">
        <f>650*G218</f>
        <v>31200</v>
      </c>
      <c r="L218" s="118">
        <v>181</v>
      </c>
      <c r="M218" s="119"/>
    </row>
    <row r="219" spans="1:13" ht="17.25" customHeight="1" x14ac:dyDescent="0.25">
      <c r="A219" s="37"/>
      <c r="B219" s="45"/>
      <c r="C219" s="16">
        <v>205</v>
      </c>
      <c r="D219" s="95" t="s">
        <v>237</v>
      </c>
      <c r="E219" s="25" t="s">
        <v>16</v>
      </c>
      <c r="F219" s="98">
        <v>10.5</v>
      </c>
      <c r="G219" s="98">
        <v>168.75</v>
      </c>
      <c r="H219" s="98">
        <v>52.75</v>
      </c>
      <c r="I219" s="98"/>
      <c r="J219" s="98">
        <f t="shared" si="26"/>
        <v>232</v>
      </c>
      <c r="K219" s="121">
        <v>126563</v>
      </c>
      <c r="L219" s="91">
        <v>92</v>
      </c>
      <c r="M219" s="119"/>
    </row>
    <row r="220" spans="1:13" ht="17.25" customHeight="1" x14ac:dyDescent="0.25">
      <c r="A220" s="37"/>
      <c r="B220" s="45"/>
      <c r="C220" s="16">
        <v>206</v>
      </c>
      <c r="D220" s="95" t="s">
        <v>238</v>
      </c>
      <c r="E220" s="25" t="s">
        <v>16</v>
      </c>
      <c r="F220" s="98">
        <v>52</v>
      </c>
      <c r="G220" s="98">
        <v>500</v>
      </c>
      <c r="H220" s="98">
        <v>60</v>
      </c>
      <c r="I220" s="98"/>
      <c r="J220" s="98">
        <f t="shared" si="26"/>
        <v>612</v>
      </c>
      <c r="K220" s="121">
        <v>425000</v>
      </c>
      <c r="L220" s="91">
        <v>69</v>
      </c>
      <c r="M220" s="119"/>
    </row>
    <row r="221" spans="1:13" ht="17.25" customHeight="1" x14ac:dyDescent="0.25">
      <c r="A221" s="37"/>
      <c r="B221" s="45"/>
      <c r="C221" s="16">
        <v>207</v>
      </c>
      <c r="D221" s="95" t="s">
        <v>239</v>
      </c>
      <c r="E221" s="25" t="s">
        <v>16</v>
      </c>
      <c r="F221" s="98">
        <v>0</v>
      </c>
      <c r="G221" s="98">
        <v>41</v>
      </c>
      <c r="H221" s="98">
        <v>23</v>
      </c>
      <c r="I221" s="98"/>
      <c r="J221" s="98">
        <f t="shared" si="26"/>
        <v>64</v>
      </c>
      <c r="K221" s="121">
        <v>26000</v>
      </c>
      <c r="L221" s="91">
        <v>43</v>
      </c>
      <c r="M221" s="119"/>
    </row>
    <row r="222" spans="1:13" ht="17.25" customHeight="1" x14ac:dyDescent="0.25">
      <c r="A222" s="37"/>
      <c r="B222" s="45"/>
      <c r="C222" s="16">
        <v>208</v>
      </c>
      <c r="D222" s="95" t="s">
        <v>240</v>
      </c>
      <c r="E222" s="25" t="s">
        <v>16</v>
      </c>
      <c r="F222" s="98">
        <v>0</v>
      </c>
      <c r="G222" s="98">
        <v>201</v>
      </c>
      <c r="H222" s="98">
        <v>30</v>
      </c>
      <c r="I222" s="98"/>
      <c r="J222" s="98">
        <f t="shared" si="26"/>
        <v>231</v>
      </c>
      <c r="K222" s="121">
        <f>G222*650</f>
        <v>130650</v>
      </c>
      <c r="L222" s="91">
        <v>131</v>
      </c>
      <c r="M222" s="119"/>
    </row>
    <row r="223" spans="1:13" ht="17.25" customHeight="1" x14ac:dyDescent="0.25">
      <c r="A223" s="37"/>
      <c r="B223" s="45"/>
      <c r="C223" s="16">
        <v>209</v>
      </c>
      <c r="D223" s="95" t="s">
        <v>241</v>
      </c>
      <c r="E223" s="25" t="s">
        <v>16</v>
      </c>
      <c r="F223" s="98">
        <v>17</v>
      </c>
      <c r="G223" s="98">
        <v>385</v>
      </c>
      <c r="H223" s="98">
        <v>85</v>
      </c>
      <c r="I223" s="98"/>
      <c r="J223" s="98">
        <f t="shared" si="26"/>
        <v>487</v>
      </c>
      <c r="K223" s="121">
        <f>G223*700</f>
        <v>269500</v>
      </c>
      <c r="L223" s="91">
        <v>175</v>
      </c>
      <c r="M223" s="119"/>
    </row>
    <row r="224" spans="1:13" ht="17.25" customHeight="1" x14ac:dyDescent="0.25">
      <c r="A224" s="37"/>
      <c r="B224" s="45"/>
      <c r="C224" s="16">
        <v>210</v>
      </c>
      <c r="D224" s="95" t="s">
        <v>242</v>
      </c>
      <c r="E224" s="25" t="s">
        <v>16</v>
      </c>
      <c r="F224" s="98">
        <v>10</v>
      </c>
      <c r="G224" s="98">
        <v>26</v>
      </c>
      <c r="H224" s="98">
        <v>22</v>
      </c>
      <c r="I224" s="98"/>
      <c r="J224" s="98">
        <f t="shared" si="26"/>
        <v>58</v>
      </c>
      <c r="K224" s="121">
        <v>16250</v>
      </c>
      <c r="L224" s="91">
        <v>30</v>
      </c>
      <c r="M224" s="119"/>
    </row>
    <row r="225" spans="1:14" ht="17.25" customHeight="1" x14ac:dyDescent="0.25">
      <c r="A225" s="37"/>
      <c r="B225" s="45"/>
      <c r="C225" s="16">
        <v>211</v>
      </c>
      <c r="D225" s="27" t="s">
        <v>243</v>
      </c>
      <c r="E225" s="25" t="s">
        <v>16</v>
      </c>
      <c r="F225" s="41">
        <v>0</v>
      </c>
      <c r="G225" s="41">
        <v>169</v>
      </c>
      <c r="H225" s="41">
        <v>20</v>
      </c>
      <c r="I225" s="41"/>
      <c r="J225" s="98">
        <f t="shared" si="26"/>
        <v>189</v>
      </c>
      <c r="K225" s="122">
        <v>142800</v>
      </c>
      <c r="L225" s="91">
        <v>83</v>
      </c>
      <c r="M225" s="119"/>
    </row>
    <row r="226" spans="1:14" ht="17.25" customHeight="1" x14ac:dyDescent="0.25">
      <c r="A226" s="37"/>
      <c r="B226" s="45"/>
      <c r="C226" s="16">
        <v>212</v>
      </c>
      <c r="D226" s="27" t="s">
        <v>244</v>
      </c>
      <c r="E226" s="25" t="s">
        <v>16</v>
      </c>
      <c r="F226" s="41">
        <v>42</v>
      </c>
      <c r="G226" s="41">
        <v>400</v>
      </c>
      <c r="H226" s="41">
        <v>100</v>
      </c>
      <c r="I226" s="41"/>
      <c r="J226" s="98">
        <f t="shared" si="26"/>
        <v>542</v>
      </c>
      <c r="K226" s="122">
        <v>300000</v>
      </c>
      <c r="L226" s="91">
        <v>300</v>
      </c>
      <c r="M226" s="119"/>
    </row>
    <row r="227" spans="1:14" ht="17.25" customHeight="1" x14ac:dyDescent="0.25">
      <c r="A227" s="37"/>
      <c r="B227" s="45"/>
      <c r="C227" s="16">
        <v>213</v>
      </c>
      <c r="D227" s="27" t="s">
        <v>245</v>
      </c>
      <c r="E227" s="25" t="s">
        <v>16</v>
      </c>
      <c r="F227" s="41">
        <v>54</v>
      </c>
      <c r="G227" s="41">
        <v>84</v>
      </c>
      <c r="H227" s="41">
        <v>25</v>
      </c>
      <c r="I227" s="41"/>
      <c r="J227" s="98">
        <f t="shared" si="26"/>
        <v>163</v>
      </c>
      <c r="K227" s="122">
        <f>G227*650</f>
        <v>54600</v>
      </c>
      <c r="L227" s="91">
        <v>115</v>
      </c>
      <c r="M227" s="119"/>
    </row>
    <row r="228" spans="1:14" ht="17.25" customHeight="1" x14ac:dyDescent="0.25">
      <c r="A228" s="37"/>
      <c r="B228" s="45"/>
      <c r="C228" s="16">
        <v>214</v>
      </c>
      <c r="D228" s="27" t="s">
        <v>246</v>
      </c>
      <c r="E228" s="25" t="s">
        <v>16</v>
      </c>
      <c r="F228" s="41">
        <v>22</v>
      </c>
      <c r="G228" s="41">
        <v>240</v>
      </c>
      <c r="H228" s="41">
        <v>57</v>
      </c>
      <c r="I228" s="41"/>
      <c r="J228" s="98">
        <f t="shared" si="26"/>
        <v>319</v>
      </c>
      <c r="K228" s="122">
        <v>192000</v>
      </c>
      <c r="L228" s="91">
        <v>100</v>
      </c>
      <c r="M228" s="119"/>
    </row>
    <row r="229" spans="1:14" ht="17.25" customHeight="1" x14ac:dyDescent="0.25">
      <c r="A229" s="37"/>
      <c r="B229" s="45"/>
      <c r="C229" s="16">
        <v>215</v>
      </c>
      <c r="D229" s="27" t="s">
        <v>247</v>
      </c>
      <c r="E229" s="25" t="s">
        <v>16</v>
      </c>
      <c r="F229" s="41">
        <v>152</v>
      </c>
      <c r="G229" s="41">
        <v>401</v>
      </c>
      <c r="H229" s="41">
        <v>50</v>
      </c>
      <c r="I229" s="41"/>
      <c r="J229" s="98">
        <f t="shared" si="26"/>
        <v>603</v>
      </c>
      <c r="K229" s="122">
        <v>450000</v>
      </c>
      <c r="L229" s="91">
        <v>140</v>
      </c>
      <c r="M229" s="119"/>
    </row>
    <row r="230" spans="1:14" ht="17.25" customHeight="1" x14ac:dyDescent="0.25">
      <c r="A230" s="37"/>
      <c r="B230" s="45"/>
      <c r="C230" s="16">
        <v>216</v>
      </c>
      <c r="D230" s="27" t="s">
        <v>248</v>
      </c>
      <c r="E230" s="25" t="s">
        <v>16</v>
      </c>
      <c r="F230" s="41">
        <v>52</v>
      </c>
      <c r="G230" s="41">
        <v>300</v>
      </c>
      <c r="H230" s="41">
        <v>25</v>
      </c>
      <c r="I230" s="41"/>
      <c r="J230" s="98">
        <f t="shared" si="26"/>
        <v>377</v>
      </c>
      <c r="K230" s="122">
        <v>350000</v>
      </c>
      <c r="L230" s="91">
        <v>116</v>
      </c>
      <c r="M230" s="119"/>
    </row>
    <row r="231" spans="1:14" ht="17.25" customHeight="1" x14ac:dyDescent="0.25">
      <c r="A231" s="37"/>
      <c r="B231" s="45"/>
      <c r="C231" s="16">
        <v>217</v>
      </c>
      <c r="D231" s="27" t="s">
        <v>249</v>
      </c>
      <c r="E231" s="25" t="s">
        <v>16</v>
      </c>
      <c r="F231" s="41">
        <v>9</v>
      </c>
      <c r="G231" s="41">
        <v>292.5</v>
      </c>
      <c r="H231" s="41">
        <v>89.7</v>
      </c>
      <c r="I231" s="41"/>
      <c r="J231" s="98">
        <f t="shared" si="26"/>
        <v>391.2</v>
      </c>
      <c r="K231" s="122">
        <v>244160</v>
      </c>
      <c r="L231" s="91">
        <v>60</v>
      </c>
      <c r="M231" s="119"/>
    </row>
    <row r="232" spans="1:14" ht="17.25" customHeight="1" x14ac:dyDescent="0.25">
      <c r="A232" s="37"/>
      <c r="B232" s="45"/>
      <c r="C232" s="16">
        <v>218</v>
      </c>
      <c r="D232" s="27" t="s">
        <v>250</v>
      </c>
      <c r="E232" s="25" t="s">
        <v>16</v>
      </c>
      <c r="F232" s="41">
        <v>101</v>
      </c>
      <c r="G232" s="41">
        <v>250</v>
      </c>
      <c r="H232" s="41">
        <v>30</v>
      </c>
      <c r="I232" s="41"/>
      <c r="J232" s="98">
        <f t="shared" si="26"/>
        <v>381</v>
      </c>
      <c r="K232" s="122">
        <v>250000</v>
      </c>
      <c r="L232" s="91">
        <v>234</v>
      </c>
      <c r="M232" s="119"/>
    </row>
    <row r="233" spans="1:14" ht="17.25" customHeight="1" x14ac:dyDescent="0.25">
      <c r="A233" s="37"/>
      <c r="B233" s="45"/>
      <c r="C233" s="16">
        <v>219</v>
      </c>
      <c r="D233" s="27" t="s">
        <v>251</v>
      </c>
      <c r="E233" s="25" t="s">
        <v>16</v>
      </c>
      <c r="F233" s="41">
        <v>29</v>
      </c>
      <c r="G233" s="41">
        <v>68.3</v>
      </c>
      <c r="H233" s="41">
        <v>12</v>
      </c>
      <c r="I233" s="41"/>
      <c r="J233" s="98">
        <f t="shared" si="26"/>
        <v>109.3</v>
      </c>
      <c r="K233" s="122">
        <f>G233*700</f>
        <v>47810</v>
      </c>
      <c r="L233" s="91">
        <v>104</v>
      </c>
      <c r="M233" s="119"/>
    </row>
    <row r="234" spans="1:14" ht="17.25" customHeight="1" x14ac:dyDescent="0.25">
      <c r="A234" s="37"/>
      <c r="B234" s="45"/>
      <c r="C234" s="16">
        <v>220</v>
      </c>
      <c r="D234" s="27" t="s">
        <v>252</v>
      </c>
      <c r="E234" s="25" t="s">
        <v>16</v>
      </c>
      <c r="F234" s="41">
        <v>31</v>
      </c>
      <c r="G234" s="41">
        <v>250</v>
      </c>
      <c r="H234" s="41">
        <v>25</v>
      </c>
      <c r="I234" s="41"/>
      <c r="J234" s="98">
        <f t="shared" si="26"/>
        <v>306</v>
      </c>
      <c r="K234" s="122">
        <f>G234*950</f>
        <v>237500</v>
      </c>
      <c r="L234" s="91">
        <v>138</v>
      </c>
      <c r="M234" s="119"/>
    </row>
    <row r="235" spans="1:14" ht="17.25" customHeight="1" x14ac:dyDescent="0.25">
      <c r="A235" s="131" t="s">
        <v>46</v>
      </c>
      <c r="B235" s="132"/>
      <c r="C235" s="132"/>
      <c r="D235" s="132"/>
      <c r="E235" s="31"/>
      <c r="F235" s="32">
        <f>SUM(F215:F234)</f>
        <v>653</v>
      </c>
      <c r="G235" s="32">
        <f t="shared" ref="G235:L235" si="27">SUM(G215:G234)</f>
        <v>4524.05</v>
      </c>
      <c r="H235" s="32">
        <f t="shared" si="27"/>
        <v>807.95</v>
      </c>
      <c r="I235" s="32"/>
      <c r="J235" s="33">
        <f t="shared" si="27"/>
        <v>5985</v>
      </c>
      <c r="K235" s="32">
        <f>SUM(K215:K234)</f>
        <v>3759458</v>
      </c>
      <c r="L235" s="32">
        <f t="shared" si="27"/>
        <v>2439</v>
      </c>
      <c r="M235" s="34"/>
    </row>
    <row r="236" spans="1:14" ht="17.25" customHeight="1" thickBot="1" x14ac:dyDescent="0.3">
      <c r="A236" s="133" t="s">
        <v>253</v>
      </c>
      <c r="B236" s="134"/>
      <c r="C236" s="134"/>
      <c r="D236" s="134"/>
      <c r="E236" s="123"/>
      <c r="F236" s="124">
        <f>F235+F214+F203+F167+F154+F113+F107+F80+F64+F36</f>
        <v>3354.1763999999998</v>
      </c>
      <c r="G236" s="124">
        <f t="shared" ref="G236:L236" si="28">G235+G214+G203+G167+G154+G113+G107+G80+G64+G36</f>
        <v>39346.907458399997</v>
      </c>
      <c r="H236" s="124">
        <f>H235+H214+H203+H167+H154+H113+H107+H80+H64+H36</f>
        <v>4359.4766</v>
      </c>
      <c r="I236" s="124"/>
      <c r="J236" s="124">
        <f>J235+J214+J203+J167+J154+J113+J107+J80+J64+J36</f>
        <v>47058.560458399996</v>
      </c>
      <c r="K236" s="124">
        <f>K235+K214+K203+K167+K154+K113+K107+K80+K64+K36</f>
        <v>30084447.141720001</v>
      </c>
      <c r="L236" s="124">
        <f t="shared" si="28"/>
        <v>39001</v>
      </c>
      <c r="M236" s="125"/>
      <c r="N236" s="126">
        <f>K236/1000</f>
        <v>30084.44714172</v>
      </c>
    </row>
    <row r="237" spans="1:14" ht="15.75" thickTop="1" x14ac:dyDescent="0.25">
      <c r="B237" s="127" t="s">
        <v>254</v>
      </c>
      <c r="C237" s="128" t="s">
        <v>255</v>
      </c>
      <c r="D237" s="128"/>
    </row>
    <row r="238" spans="1:14" ht="15.75" x14ac:dyDescent="0.25">
      <c r="K238" s="129" t="s">
        <v>256</v>
      </c>
    </row>
    <row r="239" spans="1:14" ht="15.75" x14ac:dyDescent="0.25">
      <c r="K239" s="129" t="s">
        <v>257</v>
      </c>
    </row>
    <row r="240" spans="1:14" ht="15.75" x14ac:dyDescent="0.25">
      <c r="D240" s="126">
        <f>K236/1000</f>
        <v>30084.44714172</v>
      </c>
      <c r="K240" s="129" t="s">
        <v>258</v>
      </c>
    </row>
    <row r="241" spans="6:14" ht="15.75" x14ac:dyDescent="0.25">
      <c r="K241" s="129"/>
      <c r="N241" s="35">
        <v>57000</v>
      </c>
    </row>
    <row r="242" spans="6:14" ht="15.75" x14ac:dyDescent="0.25">
      <c r="F242" s="126"/>
      <c r="K242" s="129"/>
      <c r="N242" s="36">
        <f>N241-J236</f>
        <v>9941.4395416000043</v>
      </c>
    </row>
    <row r="243" spans="6:14" ht="15.75" x14ac:dyDescent="0.25">
      <c r="K243" s="130" t="s">
        <v>259</v>
      </c>
      <c r="N243" s="1">
        <v>9</v>
      </c>
    </row>
    <row r="244" spans="6:14" ht="15.75" x14ac:dyDescent="0.25">
      <c r="K244" s="129" t="s">
        <v>260</v>
      </c>
      <c r="N244" s="36">
        <f>N242/N243</f>
        <v>1104.6043935111115</v>
      </c>
    </row>
    <row r="245" spans="6:14" ht="15.75" x14ac:dyDescent="0.25">
      <c r="K245" s="129" t="s">
        <v>261</v>
      </c>
    </row>
    <row r="246" spans="6:14" ht="15.75" x14ac:dyDescent="0.25">
      <c r="K246" s="129" t="s">
        <v>262</v>
      </c>
    </row>
    <row r="247" spans="6:14" ht="15.75" x14ac:dyDescent="0.25">
      <c r="K247" s="129" t="s">
        <v>263</v>
      </c>
    </row>
  </sheetData>
  <mergeCells count="14">
    <mergeCell ref="A80:D80"/>
    <mergeCell ref="A1:M2"/>
    <mergeCell ref="C4:D4"/>
    <mergeCell ref="C5:D5"/>
    <mergeCell ref="A36:D36"/>
    <mergeCell ref="A64:D64"/>
    <mergeCell ref="A235:D235"/>
    <mergeCell ref="A236:D236"/>
    <mergeCell ref="A107:D107"/>
    <mergeCell ref="A113:D113"/>
    <mergeCell ref="A154:D154"/>
    <mergeCell ref="A167:D167"/>
    <mergeCell ref="A203:D203"/>
    <mergeCell ref="A214:D214"/>
  </mergeCells>
  <conditionalFormatting sqref="D7:D35">
    <cfRule type="duplicateValues" dxfId="4" priority="5"/>
  </conditionalFormatting>
  <conditionalFormatting sqref="D66:D79">
    <cfRule type="duplicateValues" dxfId="3" priority="4"/>
  </conditionalFormatting>
  <conditionalFormatting sqref="D82:D106">
    <cfRule type="duplicateValues" dxfId="2" priority="3"/>
  </conditionalFormatting>
  <conditionalFormatting sqref="D115:D153">
    <cfRule type="duplicateValues" dxfId="1" priority="2"/>
  </conditionalFormatting>
  <conditionalFormatting sqref="D156:D166">
    <cfRule type="duplicateValues" dxfId="0" priority="1"/>
  </conditionalFormatting>
  <printOptions horizontalCentered="1"/>
  <pageMargins left="0.31496062992125984" right="0.31496062992125984" top="0.35433070866141736" bottom="0.23622047244094491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ARABIKA (3)</vt:lpstr>
      <vt:lpstr>'ARABIKA (3)'!Print_Area</vt:lpstr>
      <vt:lpstr>'ARABIKA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BIDANG PERKEBUNAN</dc:creator>
  <cp:lastModifiedBy>BIDANG PERKEBUNAN</cp:lastModifiedBy>
  <dcterms:created xsi:type="dcterms:W3CDTF">2026-03-31T04:23:39Z</dcterms:created>
  <dcterms:modified xsi:type="dcterms:W3CDTF">2026-04-09T04:40:30Z</dcterms:modified>
</cp:coreProperties>
</file>