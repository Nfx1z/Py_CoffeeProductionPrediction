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ABIKA (3)" sheetId="1" state="visible" r:id="rId3"/>
  </sheets>
  <definedNames>
    <definedName function="false" hidden="false" localSheetId="0" name="_xlnm.Print_Area" vbProcedure="false">'ARABIKA (3)'!$A$1:$M$253</definedName>
    <definedName function="false" hidden="false" localSheetId="0" name="_xlnm.Print_Titles" vbProcedure="false">'ARABIKA (3)'!$4:$5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<sst xmlns="http://schemas.openxmlformats.org/spreadsheetml/2006/main" count="502" uniqueCount="264">
  <si>
    <t xml:space="preserve">LAPORAN LUAS LAHAN PERKEBUNAN </t>
  </si>
  <si>
    <t xml:space="preserve">No</t>
  </si>
  <si>
    <t xml:space="preserve">Kecamatan </t>
  </si>
  <si>
    <t xml:space="preserve">Desa</t>
  </si>
  <si>
    <t xml:space="preserve">Komoditi</t>
  </si>
  <si>
    <t xml:space="preserve">TBM (Ha)</t>
  </si>
  <si>
    <t xml:space="preserve">TM (Ha)</t>
  </si>
  <si>
    <t xml:space="preserve">TTR (Ha)</t>
  </si>
  <si>
    <t xml:space="preserve">Penambahan15 %</t>
  </si>
  <si>
    <t xml:space="preserve">Total Luas Lahan (Ha)</t>
  </si>
  <si>
    <t xml:space="preserve">Produksi (Kg)</t>
  </si>
  <si>
    <t xml:space="preserve">Jumlah Petani (KK)</t>
  </si>
  <si>
    <t xml:space="preserve">Keterangan</t>
  </si>
  <si>
    <t xml:space="preserve">I.</t>
  </si>
  <si>
    <t xml:space="preserve">Timang Gajah</t>
  </si>
  <si>
    <t xml:space="preserve">Kenine</t>
  </si>
  <si>
    <t xml:space="preserve">Kopi Arabika</t>
  </si>
  <si>
    <t xml:space="preserve">Fajar Harapan</t>
  </si>
  <si>
    <t xml:space="preserve">Damaran Baru</t>
  </si>
  <si>
    <t xml:space="preserve">Pantan Pediangan</t>
  </si>
  <si>
    <t xml:space="preserve">Bandar Lampahan</t>
  </si>
  <si>
    <t xml:space="preserve">Rembune</t>
  </si>
  <si>
    <t xml:space="preserve">Mude Benara</t>
  </si>
  <si>
    <t xml:space="preserve">Bumi Ayu</t>
  </si>
  <si>
    <t xml:space="preserve">Karang Jadi</t>
  </si>
  <si>
    <t xml:space="preserve">Kampung Baru 76</t>
  </si>
  <si>
    <t xml:space="preserve">Lampahan Timur</t>
  </si>
  <si>
    <t xml:space="preserve">Lampahan</t>
  </si>
  <si>
    <t xml:space="preserve">Bukit Mulie</t>
  </si>
  <si>
    <t xml:space="preserve">Suka Damai</t>
  </si>
  <si>
    <t xml:space="preserve">Sumber Jaya</t>
  </si>
  <si>
    <t xml:space="preserve">Lampahan Barat</t>
  </si>
  <si>
    <t xml:space="preserve">Mekar Ayu</t>
  </si>
  <si>
    <t xml:space="preserve">Datu Beru</t>
  </si>
  <si>
    <t xml:space="preserve">Timang Rasa</t>
  </si>
  <si>
    <t xml:space="preserve">Kulem Parakanis</t>
  </si>
  <si>
    <t xml:space="preserve">Linung Bale</t>
  </si>
  <si>
    <t xml:space="preserve">Gunung Tunyang</t>
  </si>
  <si>
    <t xml:space="preserve">Bukit Tunyang</t>
  </si>
  <si>
    <t xml:space="preserve">Gegur Sepakat</t>
  </si>
  <si>
    <t xml:space="preserve">Tunyang</t>
  </si>
  <si>
    <t xml:space="preserve">Simpang Layang</t>
  </si>
  <si>
    <t xml:space="preserve">Blang Rongka</t>
  </si>
  <si>
    <t xml:space="preserve">Setie</t>
  </si>
  <si>
    <t xml:space="preserve">Cekal Baru</t>
  </si>
  <si>
    <t xml:space="preserve">Pantan Kemuning</t>
  </si>
  <si>
    <t xml:space="preserve">Jumlah</t>
  </si>
  <si>
    <t xml:space="preserve">II.</t>
  </si>
  <si>
    <t xml:space="preserve">Permata</t>
  </si>
  <si>
    <t xml:space="preserve">Buntul Peteri</t>
  </si>
  <si>
    <t xml:space="preserve">Bale Musara</t>
  </si>
  <si>
    <t xml:space="preserve">Jungke</t>
  </si>
  <si>
    <t xml:space="preserve">Kepies</t>
  </si>
  <si>
    <t xml:space="preserve">Seni Antara</t>
  </si>
  <si>
    <t xml:space="preserve">Pantan Tengah Jaya</t>
  </si>
  <si>
    <t xml:space="preserve">Ayu Ara</t>
  </si>
  <si>
    <t xml:space="preserve">Rikit Musara</t>
  </si>
  <si>
    <t xml:space="preserve">Suku Sara Tangke</t>
  </si>
  <si>
    <t xml:space="preserve">Ramung Jaya</t>
  </si>
  <si>
    <t xml:space="preserve">Timur Jaya</t>
  </si>
  <si>
    <t xml:space="preserve">Ceding Ayu</t>
  </si>
  <si>
    <t xml:space="preserve">Darul Aman</t>
  </si>
  <si>
    <t xml:space="preserve">Burni Pase</t>
  </si>
  <si>
    <t xml:space="preserve">Wih Tenang Uken</t>
  </si>
  <si>
    <t xml:space="preserve">Bintang Permata</t>
  </si>
  <si>
    <t xml:space="preserve">Uning Sejuk</t>
  </si>
  <si>
    <t xml:space="preserve">Wih Tenang Toa/Bakongan Baru</t>
  </si>
  <si>
    <t xml:space="preserve">Jelobok</t>
  </si>
  <si>
    <t xml:space="preserve">Penosan Jaya</t>
  </si>
  <si>
    <t xml:space="preserve">Bener Pepanyi</t>
  </si>
  <si>
    <t xml:space="preserve">Bintang Bener</t>
  </si>
  <si>
    <t xml:space="preserve">Pemango</t>
  </si>
  <si>
    <t xml:space="preserve">Gelampang Wih Tenang Uken</t>
  </si>
  <si>
    <t xml:space="preserve">Bale Purnama</t>
  </si>
  <si>
    <t xml:space="preserve">Temas Mumanang</t>
  </si>
  <si>
    <t xml:space="preserve">Tawar Bengi</t>
  </si>
  <si>
    <t xml:space="preserve">III.</t>
  </si>
  <si>
    <t xml:space="preserve">Mesidah</t>
  </si>
  <si>
    <t xml:space="preserve">Amor</t>
  </si>
  <si>
    <t xml:space="preserve">Buntul Gayo</t>
  </si>
  <si>
    <t xml:space="preserve">Weh Resap</t>
  </si>
  <si>
    <t xml:space="preserve">Pantan Kuli</t>
  </si>
  <si>
    <t xml:space="preserve">Cemparam Lama</t>
  </si>
  <si>
    <t xml:space="preserve">Cemparam Pakat Jeroh</t>
  </si>
  <si>
    <t xml:space="preserve">Cemparam Jaya</t>
  </si>
  <si>
    <t xml:space="preserve">Jamur Atu</t>
  </si>
  <si>
    <t xml:space="preserve">Simpang Renggali</t>
  </si>
  <si>
    <t xml:space="preserve">Gunung Sayang</t>
  </si>
  <si>
    <t xml:space="preserve">Uwer Tingkem</t>
  </si>
  <si>
    <t xml:space="preserve">Perumpaken Benjadi</t>
  </si>
  <si>
    <t xml:space="preserve">Simpur</t>
  </si>
  <si>
    <t xml:space="preserve">Hakim Peteri Pintu</t>
  </si>
  <si>
    <t xml:space="preserve">Sosial</t>
  </si>
  <si>
    <t xml:space="preserve">IV.</t>
  </si>
  <si>
    <t xml:space="preserve">Wih Pesam</t>
  </si>
  <si>
    <t xml:space="preserve">Blang Benara</t>
  </si>
  <si>
    <t xml:space="preserve">-</t>
  </si>
  <si>
    <t xml:space="preserve">Blang Paku</t>
  </si>
  <si>
    <t xml:space="preserve">Blang Kucak</t>
  </si>
  <si>
    <t xml:space="preserve">Burni Telong</t>
  </si>
  <si>
    <t xml:space="preserve">Cinta Damai</t>
  </si>
  <si>
    <t xml:space="preserve">Jamur Ujung</t>
  </si>
  <si>
    <t xml:space="preserve">Kebun Baru</t>
  </si>
  <si>
    <t xml:space="preserve">Lut Kucak</t>
  </si>
  <si>
    <t xml:space="preserve">Pante Raya</t>
  </si>
  <si>
    <t xml:space="preserve">Bukit Pepanyi</t>
  </si>
  <si>
    <t xml:space="preserve">Simpang Teritit</t>
  </si>
  <si>
    <t xml:space="preserve">Suka Jadi</t>
  </si>
  <si>
    <t xml:space="preserve">Suka Makmur Timur</t>
  </si>
  <si>
    <t xml:space="preserve">Suka Makmur</t>
  </si>
  <si>
    <t xml:space="preserve">Suka Ramai Atas</t>
  </si>
  <si>
    <t xml:space="preserve">Suka Ramai Bawah</t>
  </si>
  <si>
    <t xml:space="preserve">Syura Jadi</t>
  </si>
  <si>
    <t xml:space="preserve">Wono Sobo</t>
  </si>
  <si>
    <t xml:space="preserve">Simpang Antara</t>
  </si>
  <si>
    <t xml:space="preserve">Merie Satu</t>
  </si>
  <si>
    <t xml:space="preserve">Jamur Uluh</t>
  </si>
  <si>
    <t xml:space="preserve">Simpang Balik</t>
  </si>
  <si>
    <t xml:space="preserve">Bener Mulie</t>
  </si>
  <si>
    <t xml:space="preserve">Bener Ayu</t>
  </si>
  <si>
    <t xml:space="preserve">Gegerung</t>
  </si>
  <si>
    <t xml:space="preserve">V.</t>
  </si>
  <si>
    <t xml:space="preserve">Syiah Utama</t>
  </si>
  <si>
    <t xml:space="preserve">Tembolon</t>
  </si>
  <si>
    <t xml:space="preserve">Rusip</t>
  </si>
  <si>
    <t xml:space="preserve">Wihni Durin </t>
  </si>
  <si>
    <t xml:space="preserve">Blang Panu </t>
  </si>
  <si>
    <t xml:space="preserve">Rata Mulie </t>
  </si>
  <si>
    <t xml:space="preserve">VI.</t>
  </si>
  <si>
    <t xml:space="preserve">Bukit</t>
  </si>
  <si>
    <t xml:space="preserve">Bale Redelong</t>
  </si>
  <si>
    <t xml:space="preserve">Ujung Gele</t>
  </si>
  <si>
    <t xml:space="preserve">Bale Atu</t>
  </si>
  <si>
    <t xml:space="preserve">Babussalam</t>
  </si>
  <si>
    <t xml:space="preserve">Hakim Tungul Naru</t>
  </si>
  <si>
    <t xml:space="preserve">Blang Panas</t>
  </si>
  <si>
    <t xml:space="preserve">Blang Tampu</t>
  </si>
  <si>
    <t xml:space="preserve">Serule Kayu</t>
  </si>
  <si>
    <t xml:space="preserve">Kute Tanyung</t>
  </si>
  <si>
    <t xml:space="preserve">Delung Tue</t>
  </si>
  <si>
    <t xml:space="preserve">Delung Asli</t>
  </si>
  <si>
    <t xml:space="preserve">Pilar Jaya</t>
  </si>
  <si>
    <t xml:space="preserve">Uning Bersah</t>
  </si>
  <si>
    <t xml:space="preserve">Uning Teritit</t>
  </si>
  <si>
    <t xml:space="preserve">Bathin Wih Pongas</t>
  </si>
  <si>
    <t xml:space="preserve">Tingkem Asli</t>
  </si>
  <si>
    <t xml:space="preserve">Tingkem Benyer</t>
  </si>
  <si>
    <t xml:space="preserve">Tingkem Bersatu</t>
  </si>
  <si>
    <t xml:space="preserve">Blang Sentang</t>
  </si>
  <si>
    <t xml:space="preserve">Reje Guru</t>
  </si>
  <si>
    <t xml:space="preserve">Mutiara Baru</t>
  </si>
  <si>
    <t xml:space="preserve">Bukit Bersatu</t>
  </si>
  <si>
    <t xml:space="preserve">Blang Ara </t>
  </si>
  <si>
    <t xml:space="preserve">Waq Pondok Sayur</t>
  </si>
  <si>
    <t xml:space="preserve">Panji Mulia I</t>
  </si>
  <si>
    <t xml:space="preserve">Panji Mulia II</t>
  </si>
  <si>
    <t xml:space="preserve">Rembele </t>
  </si>
  <si>
    <t xml:space="preserve">Karang Rejo</t>
  </si>
  <si>
    <t xml:space="preserve">Kute Kering</t>
  </si>
  <si>
    <t xml:space="preserve">Kute Lintang</t>
  </si>
  <si>
    <t xml:space="preserve">Isaq Busur </t>
  </si>
  <si>
    <t xml:space="preserve">Meluem</t>
  </si>
  <si>
    <t xml:space="preserve">Bujang</t>
  </si>
  <si>
    <t xml:space="preserve">Godang</t>
  </si>
  <si>
    <t xml:space="preserve">Uring</t>
  </si>
  <si>
    <t xml:space="preserve">Kenawat Redelong</t>
  </si>
  <si>
    <t xml:space="preserve">Paya Gajah</t>
  </si>
  <si>
    <t xml:space="preserve">Pasar Simpang Tiga</t>
  </si>
  <si>
    <t xml:space="preserve">Sedie Jadi</t>
  </si>
  <si>
    <t xml:space="preserve">Mupakat Jadi</t>
  </si>
  <si>
    <t xml:space="preserve">VII.</t>
  </si>
  <si>
    <t xml:space="preserve">Bener Kelipah</t>
  </si>
  <si>
    <t xml:space="preserve">Nosar Baru</t>
  </si>
  <si>
    <t xml:space="preserve">Nosar Tawar Jaya</t>
  </si>
  <si>
    <t xml:space="preserve">Bandar Jaya</t>
  </si>
  <si>
    <t xml:space="preserve">Lot Bener Kelpah</t>
  </si>
  <si>
    <t xml:space="preserve">Bener Kelipah Utara</t>
  </si>
  <si>
    <t xml:space="preserve">Bener Kelipah Selatan</t>
  </si>
  <si>
    <t xml:space="preserve">Gunung Musara</t>
  </si>
  <si>
    <t xml:space="preserve">Jongok Meluem</t>
  </si>
  <si>
    <t xml:space="preserve">Kala Tenang</t>
  </si>
  <si>
    <t xml:space="preserve">Bintang Musara</t>
  </si>
  <si>
    <t xml:space="preserve">Suku Bener</t>
  </si>
  <si>
    <t xml:space="preserve">Bener Lukup</t>
  </si>
  <si>
    <t xml:space="preserve">VIII.</t>
  </si>
  <si>
    <t xml:space="preserve">Bandar</t>
  </si>
  <si>
    <t xml:space="preserve">Pondok Baru</t>
  </si>
  <si>
    <t xml:space="preserve">Janarata</t>
  </si>
  <si>
    <t xml:space="preserve">Mutiara</t>
  </si>
  <si>
    <t xml:space="preserve">Puja Mulia</t>
  </si>
  <si>
    <t xml:space="preserve">Purwosari</t>
  </si>
  <si>
    <t xml:space="preserve">Tawar Sedenge</t>
  </si>
  <si>
    <t xml:space="preserve">Simpang Utama</t>
  </si>
  <si>
    <t xml:space="preserve">Makmur Sentosa</t>
  </si>
  <si>
    <t xml:space="preserve">Pondok Gajah</t>
  </si>
  <si>
    <t xml:space="preserve">Bathin Baru</t>
  </si>
  <si>
    <t xml:space="preserve">Suku Wih Ilang</t>
  </si>
  <si>
    <t xml:space="preserve">Gele Semayang</t>
  </si>
  <si>
    <t xml:space="preserve">Bukit Wih Ilang</t>
  </si>
  <si>
    <t xml:space="preserve">Bahgie Bertona</t>
  </si>
  <si>
    <t xml:space="preserve">Pondok Ulung</t>
  </si>
  <si>
    <t xml:space="preserve">Kala Nempan</t>
  </si>
  <si>
    <t xml:space="preserve">Pakat Jeroh</t>
  </si>
  <si>
    <t xml:space="preserve">Selisih Mara</t>
  </si>
  <si>
    <t xml:space="preserve">Selamat Rejo</t>
  </si>
  <si>
    <t xml:space="preserve">Hakim Wih Ilang</t>
  </si>
  <si>
    <t xml:space="preserve">Lewa Jadi</t>
  </si>
  <si>
    <t xml:space="preserve">Gunung Antara</t>
  </si>
  <si>
    <t xml:space="preserve">Remang Ketike Jaya</t>
  </si>
  <si>
    <t xml:space="preserve">Tanjung Pura</t>
  </si>
  <si>
    <t xml:space="preserve">Beranun Teleden</t>
  </si>
  <si>
    <t xml:space="preserve">Keramat Jaya</t>
  </si>
  <si>
    <t xml:space="preserve">Jadi Sepakat</t>
  </si>
  <si>
    <t xml:space="preserve">Sidodadi</t>
  </si>
  <si>
    <t xml:space="preserve">Petukel Blang Jorong</t>
  </si>
  <si>
    <t xml:space="preserve">Paya Baning</t>
  </si>
  <si>
    <t xml:space="preserve">Wonosari</t>
  </si>
  <si>
    <t xml:space="preserve">Tansaran Bidin</t>
  </si>
  <si>
    <t xml:space="preserve">Blang Pulo</t>
  </si>
  <si>
    <t xml:space="preserve">Sinar Jaya Paya Ringkel</t>
  </si>
  <si>
    <t xml:space="preserve">Muyang Kute Mangku</t>
  </si>
  <si>
    <t xml:space="preserve">IX.</t>
  </si>
  <si>
    <t xml:space="preserve">Gajah Putih</t>
  </si>
  <si>
    <t xml:space="preserve">Simpang Rahmat</t>
  </si>
  <si>
    <t xml:space="preserve">Reronga</t>
  </si>
  <si>
    <t xml:space="preserve">Gayo Setie</t>
  </si>
  <si>
    <t xml:space="preserve">Umah Besi </t>
  </si>
  <si>
    <t xml:space="preserve">Meriah Jaya</t>
  </si>
  <si>
    <t xml:space="preserve">Alam Jaya </t>
  </si>
  <si>
    <t xml:space="preserve">Pante Karya</t>
  </si>
  <si>
    <t xml:space="preserve">Pantan Lues</t>
  </si>
  <si>
    <t xml:space="preserve">X.</t>
  </si>
  <si>
    <t xml:space="preserve">Pintu Rime Gayo</t>
  </si>
  <si>
    <t xml:space="preserve">Bintang Berangun</t>
  </si>
  <si>
    <t xml:space="preserve">Pulo Intan</t>
  </si>
  <si>
    <t xml:space="preserve">Singah Mulo</t>
  </si>
  <si>
    <t xml:space="preserve">Alur Cincin</t>
  </si>
  <si>
    <t xml:space="preserve">Musara 58</t>
  </si>
  <si>
    <t xml:space="preserve">Uning Mas</t>
  </si>
  <si>
    <t xml:space="preserve">Blang Rakal</t>
  </si>
  <si>
    <t xml:space="preserve">Bener Meriah</t>
  </si>
  <si>
    <t xml:space="preserve">Wih Porak</t>
  </si>
  <si>
    <t xml:space="preserve">Alur Gading</t>
  </si>
  <si>
    <t xml:space="preserve">Ulu Naron</t>
  </si>
  <si>
    <t xml:space="preserve">Perdamaian</t>
  </si>
  <si>
    <t xml:space="preserve">Rime Raya</t>
  </si>
  <si>
    <t xml:space="preserve">Taman Firdaus</t>
  </si>
  <si>
    <t xml:space="preserve">Pantan Sinaku</t>
  </si>
  <si>
    <t xml:space="preserve">Rata Ara</t>
  </si>
  <si>
    <t xml:space="preserve">Simpang Lancang</t>
  </si>
  <si>
    <t xml:space="preserve">Pancar Jelobok</t>
  </si>
  <si>
    <t xml:space="preserve">Blang Ara</t>
  </si>
  <si>
    <t xml:space="preserve">Gemasih</t>
  </si>
  <si>
    <t xml:space="preserve">TOTAL</t>
  </si>
  <si>
    <t xml:space="preserve">Sumber Data</t>
  </si>
  <si>
    <t xml:space="preserve">:  BPP Masing-masing Kecamatan berkoordinasi dengan Reje Kampung </t>
  </si>
  <si>
    <t xml:space="preserve">Redelong, 3 Juli 2021</t>
  </si>
  <si>
    <t xml:space="preserve">Kepala Dinas Pertanian dan Pangan</t>
  </si>
  <si>
    <t xml:space="preserve">Kabupaten Bener Meriah</t>
  </si>
  <si>
    <t xml:space="preserve">Uswatun Hasanah, SP, MP</t>
  </si>
  <si>
    <t xml:space="preserve">Pembina / IV.a</t>
  </si>
  <si>
    <t xml:space="preserve">Nip : 19770528 200604 2 001</t>
  </si>
  <si>
    <t xml:space="preserve">SP Nomor : Peg.875/831/2021</t>
  </si>
  <si>
    <t xml:space="preserve">Tanggal 1 Juli 2021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</si>
</sst>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_);_(* \(#,##0\);_(* \-_);_(@_)"/>
    <numFmt numFmtId="166" formatCode="_-* #,##0.00_-;\-* #,##0.00_-;_-* \-_-;_-@_-"/>
    <numFmt numFmtId="167" formatCode="_-* #,##0_-;\-* #,##0_-;_-* \-_-;_-@_-"/>
    <numFmt numFmtId="168" formatCode="@"/>
    <numFmt numFmtId="169" formatCode="_(* #,##0.00_);_(* \(#,##0.00\);_(* \-??_);_(@_)"/>
    <numFmt numFmtId="170" formatCode="_-* #,##0.00_-;\-* #,##0.00_-;_-* \-??_-;_-@_-"/>
    <numFmt numFmtId="171" formatCode="_(* #,##0.0_);_(* \(#,##0.0\);_(* \-??_);_(@_)"/>
    <numFmt numFmtId="172" formatCode="_(* #,##0_);_(* \(#,##0\);_(* \-??_);_(@_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1"/>
      <color theme="1"/>
      <name val="Bookman Old Style"/>
      <family val="1"/>
      <charset val="1"/>
    </font>
    <font>
      <b val="true"/>
      <sz val="18"/>
      <color theme="1"/>
      <name val="Bookman Old Style"/>
      <family val="1"/>
      <charset val="1"/>
    </font>
    <font>
      <b val="true"/>
      <i val="true"/>
      <sz val="11"/>
      <color theme="1"/>
      <name val="Bookman Old Style"/>
      <family val="1"/>
      <charset val="1"/>
    </font>
    <font>
      <i val="true"/>
      <sz val="11"/>
      <color theme="1"/>
      <name val="Bookman Old Style"/>
      <family val="1"/>
      <charset val="1"/>
    </font>
    <font>
      <sz val="11"/>
      <name val="Bookman Old Style"/>
      <family val="1"/>
      <charset val="1"/>
    </font>
    <font>
      <b val="true"/>
      <sz val="11"/>
      <color theme="1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sz val="10"/>
      <color rgb="FF000000"/>
      <name val="Bookman Old Style"/>
      <family val="1"/>
      <charset val="1"/>
    </font>
    <font>
      <sz val="10"/>
      <name val="Bookman Old Style"/>
      <family val="1"/>
      <charset val="1"/>
    </font>
    <font>
      <sz val="10"/>
      <color theme="1"/>
      <name val="Bookman Old Style"/>
      <family val="1"/>
      <charset val="1"/>
    </font>
    <font>
      <sz val="12"/>
      <color theme="1"/>
      <name val="Bookman Old Style"/>
      <family val="1"/>
      <charset val="1"/>
    </font>
    <font>
      <b val="true"/>
      <u val="single"/>
      <sz val="12"/>
      <color theme="1"/>
      <name val="Bookman Old Style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  <cellStyle name="Excel Built-in Comma [0]" xfId="21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80" zoomScalePageLayoutView="80" workbookViewId="0">
      <pane xSplit="0" ySplit="5" topLeftCell="A94" activePane="bottomLeft" state="frozen"/>
      <selection pane="topLeft" activeCell="A1" activeCellId="0" sqref="A1"/>
      <selection pane="bottomLeft" activeCell="D110" activeCellId="0" sqref="D1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24.86"/>
    <col collapsed="false" customWidth="true" hidden="false" outlineLevel="0" max="3" min="3" style="2" width="7.15"/>
    <col collapsed="false" customWidth="true" hidden="false" outlineLevel="0" max="4" min="4" style="2" width="33.29"/>
    <col collapsed="false" customWidth="true" hidden="false" outlineLevel="0" max="5" min="5" style="2" width="21.57"/>
    <col collapsed="false" customWidth="true" hidden="false" outlineLevel="0" max="6" min="6" style="2" width="12.71"/>
    <col collapsed="false" customWidth="true" hidden="false" outlineLevel="0" max="7" min="7" style="2" width="15"/>
    <col collapsed="false" customWidth="true" hidden="false" outlineLevel="0" max="8" min="8" style="2" width="12.71"/>
    <col collapsed="false" customWidth="true" hidden="true" outlineLevel="0" max="9" min="9" style="2" width="12.71"/>
    <col collapsed="false" customWidth="true" hidden="false" outlineLevel="0" max="10" min="10" style="2" width="15.57"/>
    <col collapsed="false" customWidth="true" hidden="false" outlineLevel="0" max="11" min="11" style="2" width="20.71"/>
    <col collapsed="false" customWidth="true" hidden="false" outlineLevel="0" max="12" min="12" style="1" width="14.29"/>
    <col collapsed="false" customWidth="true" hidden="false" outlineLevel="0" max="13" min="13" style="2" width="14.29"/>
    <col collapsed="false" customWidth="true" hidden="false" outlineLevel="0" max="14" min="14" style="2" width="14.57"/>
    <col collapsed="false" customWidth="true" hidden="false" outlineLevel="0" max="15" min="15" style="2" width="12"/>
    <col collapsed="false" customWidth="false" hidden="false" outlineLevel="0" max="16384" min="16" style="2" width="9.14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G3" s="1"/>
    </row>
    <row r="4" customFormat="false" ht="45" hidden="false" customHeight="true" outlineLevel="0" collapsed="false">
      <c r="A4" s="4" t="s">
        <v>1</v>
      </c>
      <c r="B4" s="5" t="s">
        <v>2</v>
      </c>
      <c r="C4" s="6" t="s">
        <v>3</v>
      </c>
      <c r="D4" s="6"/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7" t="s">
        <v>12</v>
      </c>
    </row>
    <row r="5" s="13" customFormat="true" ht="15.75" hidden="false" customHeight="true" outlineLevel="0" collapsed="false">
      <c r="A5" s="8" t="n">
        <v>1</v>
      </c>
      <c r="B5" s="9" t="n">
        <v>2</v>
      </c>
      <c r="C5" s="10" t="n">
        <v>3</v>
      </c>
      <c r="D5" s="10"/>
      <c r="E5" s="10" t="n">
        <v>4</v>
      </c>
      <c r="F5" s="10" t="n">
        <v>5</v>
      </c>
      <c r="G5" s="10" t="n">
        <v>6</v>
      </c>
      <c r="H5" s="10" t="n">
        <v>7</v>
      </c>
      <c r="I5" s="10"/>
      <c r="J5" s="11" t="n">
        <v>8</v>
      </c>
      <c r="K5" s="10" t="n">
        <v>9</v>
      </c>
      <c r="L5" s="10" t="n">
        <v>10</v>
      </c>
      <c r="M5" s="12" t="n">
        <v>11</v>
      </c>
    </row>
    <row r="6" customFormat="false" ht="17.25" hidden="false" customHeight="true" outlineLevel="0" collapsed="false">
      <c r="A6" s="14" t="s">
        <v>13</v>
      </c>
      <c r="B6" s="15" t="s">
        <v>14</v>
      </c>
      <c r="C6" s="16" t="n">
        <v>1</v>
      </c>
      <c r="D6" s="17" t="s">
        <v>15</v>
      </c>
      <c r="E6" s="18" t="s">
        <v>16</v>
      </c>
      <c r="F6" s="19" t="n">
        <v>13.33</v>
      </c>
      <c r="G6" s="19" t="n">
        <v>93.54</v>
      </c>
      <c r="H6" s="19" t="n">
        <v>8.7</v>
      </c>
      <c r="I6" s="20"/>
      <c r="J6" s="19" t="n">
        <f aca="false">SUM(F6:H6)</f>
        <v>115.57</v>
      </c>
      <c r="K6" s="21" t="n">
        <v>66131</v>
      </c>
      <c r="L6" s="21" t="n">
        <v>110</v>
      </c>
      <c r="M6" s="22"/>
    </row>
    <row r="7" customFormat="false" ht="17.25" hidden="false" customHeight="true" outlineLevel="0" collapsed="false">
      <c r="A7" s="23"/>
      <c r="B7" s="24"/>
      <c r="C7" s="16" t="n">
        <v>2</v>
      </c>
      <c r="D7" s="17" t="s">
        <v>17</v>
      </c>
      <c r="E7" s="18" t="s">
        <v>16</v>
      </c>
      <c r="F7" s="19" t="n">
        <v>5.31</v>
      </c>
      <c r="G7" s="19" t="n">
        <v>20.45</v>
      </c>
      <c r="H7" s="19" t="n">
        <v>6.69</v>
      </c>
      <c r="I7" s="20"/>
      <c r="J7" s="19" t="n">
        <f aca="false">SUM(F7:H7)</f>
        <v>32.45</v>
      </c>
      <c r="K7" s="21" t="n">
        <v>15128</v>
      </c>
      <c r="L7" s="21" t="n">
        <v>59</v>
      </c>
      <c r="M7" s="22"/>
    </row>
    <row r="8" customFormat="false" ht="17.25" hidden="false" customHeight="true" outlineLevel="0" collapsed="false">
      <c r="A8" s="14"/>
      <c r="B8" s="24"/>
      <c r="C8" s="16" t="n">
        <v>3</v>
      </c>
      <c r="D8" s="17" t="s">
        <v>18</v>
      </c>
      <c r="E8" s="18" t="s">
        <v>16</v>
      </c>
      <c r="F8" s="19" t="n">
        <v>10.86</v>
      </c>
      <c r="G8" s="19" t="n">
        <v>156.46</v>
      </c>
      <c r="H8" s="19" t="n">
        <v>14.24</v>
      </c>
      <c r="I8" s="20"/>
      <c r="J8" s="19" t="n">
        <f aca="false">SUM(F8:H8)</f>
        <v>181.56</v>
      </c>
      <c r="K8" s="21" t="n">
        <v>1647</v>
      </c>
      <c r="L8" s="21" t="n">
        <v>142</v>
      </c>
      <c r="M8" s="22"/>
    </row>
    <row r="9" customFormat="false" ht="17.25" hidden="false" customHeight="true" outlineLevel="0" collapsed="false">
      <c r="A9" s="23"/>
      <c r="B9" s="24"/>
      <c r="C9" s="16" t="n">
        <v>4</v>
      </c>
      <c r="D9" s="17" t="s">
        <v>19</v>
      </c>
      <c r="E9" s="18" t="s">
        <v>16</v>
      </c>
      <c r="F9" s="19" t="n">
        <v>97.63</v>
      </c>
      <c r="G9" s="19" t="n">
        <v>255.32</v>
      </c>
      <c r="H9" s="19" t="n">
        <v>33.91</v>
      </c>
      <c r="I9" s="20"/>
      <c r="J9" s="19" t="n">
        <f aca="false">SUM(F9:H9)</f>
        <v>386.86</v>
      </c>
      <c r="K9" s="21" t="n">
        <v>192075</v>
      </c>
      <c r="L9" s="21" t="n">
        <v>112</v>
      </c>
      <c r="M9" s="22"/>
    </row>
    <row r="10" customFormat="false" ht="17.25" hidden="false" customHeight="true" outlineLevel="0" collapsed="false">
      <c r="A10" s="14"/>
      <c r="B10" s="24"/>
      <c r="C10" s="16" t="n">
        <v>5</v>
      </c>
      <c r="D10" s="17" t="s">
        <v>20</v>
      </c>
      <c r="E10" s="18" t="s">
        <v>16</v>
      </c>
      <c r="F10" s="19" t="n">
        <v>11.32</v>
      </c>
      <c r="G10" s="19" t="n">
        <v>40.79</v>
      </c>
      <c r="H10" s="19" t="n">
        <v>31.64</v>
      </c>
      <c r="I10" s="20"/>
      <c r="J10" s="19" t="n">
        <f aca="false">SUM(F10:H10)</f>
        <v>83.75</v>
      </c>
      <c r="K10" s="21" t="n">
        <v>423</v>
      </c>
      <c r="L10" s="21" t="n">
        <v>62</v>
      </c>
      <c r="M10" s="22"/>
    </row>
    <row r="11" customFormat="false" ht="17.25" hidden="false" customHeight="true" outlineLevel="0" collapsed="false">
      <c r="A11" s="23"/>
      <c r="B11" s="24"/>
      <c r="C11" s="16" t="n">
        <v>6</v>
      </c>
      <c r="D11" s="17" t="s">
        <v>21</v>
      </c>
      <c r="E11" s="18" t="s">
        <v>16</v>
      </c>
      <c r="F11" s="19" t="n">
        <v>11.27</v>
      </c>
      <c r="G11" s="19" t="n">
        <v>60.55</v>
      </c>
      <c r="H11" s="19" t="n">
        <v>34.69</v>
      </c>
      <c r="I11" s="20"/>
      <c r="J11" s="19" t="n">
        <f aca="false">SUM(F11:H11)</f>
        <v>106.51</v>
      </c>
      <c r="K11" s="21" t="n">
        <v>624</v>
      </c>
      <c r="L11" s="21" t="n">
        <v>120</v>
      </c>
      <c r="M11" s="22"/>
      <c r="O11" s="2" t="n">
        <v>750</v>
      </c>
    </row>
    <row r="12" customFormat="false" ht="17.25" hidden="false" customHeight="true" outlineLevel="0" collapsed="false">
      <c r="A12" s="14"/>
      <c r="B12" s="24"/>
      <c r="C12" s="16" t="n">
        <v>7</v>
      </c>
      <c r="D12" s="17" t="s">
        <v>22</v>
      </c>
      <c r="E12" s="25" t="s">
        <v>16</v>
      </c>
      <c r="F12" s="19" t="n">
        <v>6.34</v>
      </c>
      <c r="G12" s="19" t="n">
        <v>131.7</v>
      </c>
      <c r="H12" s="19" t="n">
        <v>7.64</v>
      </c>
      <c r="I12" s="20"/>
      <c r="J12" s="19" t="n">
        <f aca="false">SUM(F12:H12)</f>
        <v>145.68</v>
      </c>
      <c r="K12" s="21" t="n">
        <v>1344</v>
      </c>
      <c r="L12" s="21" t="n">
        <v>149</v>
      </c>
      <c r="M12" s="22"/>
    </row>
    <row r="13" customFormat="false" ht="17.25" hidden="false" customHeight="true" outlineLevel="0" collapsed="false">
      <c r="A13" s="23"/>
      <c r="B13" s="24"/>
      <c r="C13" s="16" t="n">
        <v>8</v>
      </c>
      <c r="D13" s="17" t="s">
        <v>23</v>
      </c>
      <c r="E13" s="25" t="s">
        <v>16</v>
      </c>
      <c r="F13" s="19" t="n">
        <v>10.33</v>
      </c>
      <c r="G13" s="19" t="n">
        <v>71.98</v>
      </c>
      <c r="H13" s="19" t="n">
        <v>4.7</v>
      </c>
      <c r="I13" s="20"/>
      <c r="J13" s="19" t="n">
        <f aca="false">SUM(F13:H13)</f>
        <v>87.01</v>
      </c>
      <c r="K13" s="21" t="n">
        <v>42638</v>
      </c>
      <c r="L13" s="21" t="n">
        <v>518</v>
      </c>
      <c r="M13" s="22"/>
    </row>
    <row r="14" customFormat="false" ht="17.25" hidden="false" customHeight="true" outlineLevel="0" collapsed="false">
      <c r="A14" s="14"/>
      <c r="B14" s="24"/>
      <c r="C14" s="16" t="n">
        <v>9</v>
      </c>
      <c r="D14" s="17" t="s">
        <v>24</v>
      </c>
      <c r="E14" s="25" t="s">
        <v>16</v>
      </c>
      <c r="F14" s="19" t="n">
        <v>1.04</v>
      </c>
      <c r="G14" s="19" t="n">
        <v>82.27</v>
      </c>
      <c r="H14" s="19" t="n">
        <v>2.82</v>
      </c>
      <c r="I14" s="20"/>
      <c r="J14" s="19" t="n">
        <f aca="false">SUM(F14:H14)</f>
        <v>86.13</v>
      </c>
      <c r="K14" s="21" t="n">
        <v>56493</v>
      </c>
      <c r="L14" s="21" t="n">
        <v>185</v>
      </c>
      <c r="M14" s="22"/>
    </row>
    <row r="15" customFormat="false" ht="17.25" hidden="false" customHeight="true" outlineLevel="0" collapsed="false">
      <c r="A15" s="23"/>
      <c r="B15" s="24"/>
      <c r="C15" s="16" t="n">
        <v>10</v>
      </c>
      <c r="D15" s="17" t="s">
        <v>25</v>
      </c>
      <c r="E15" s="25" t="s">
        <v>16</v>
      </c>
      <c r="F15" s="19" t="n">
        <v>66.2</v>
      </c>
      <c r="G15" s="19" t="n">
        <v>324.32</v>
      </c>
      <c r="H15" s="19" t="n">
        <v>11.44</v>
      </c>
      <c r="I15" s="20"/>
      <c r="J15" s="19" t="n">
        <f aca="false">SUM(F15:H15)</f>
        <v>401.96</v>
      </c>
      <c r="K15" s="21" t="n">
        <v>225275</v>
      </c>
      <c r="L15" s="21" t="n">
        <v>270</v>
      </c>
      <c r="M15" s="22"/>
    </row>
    <row r="16" customFormat="false" ht="17.25" hidden="false" customHeight="true" outlineLevel="0" collapsed="false">
      <c r="A16" s="14"/>
      <c r="B16" s="24"/>
      <c r="C16" s="16" t="n">
        <v>11</v>
      </c>
      <c r="D16" s="17" t="s">
        <v>26</v>
      </c>
      <c r="E16" s="25" t="s">
        <v>16</v>
      </c>
      <c r="F16" s="19" t="n">
        <v>10.34</v>
      </c>
      <c r="G16" s="19" t="n">
        <v>25.75</v>
      </c>
      <c r="H16" s="19" t="n">
        <v>3.85</v>
      </c>
      <c r="I16" s="20"/>
      <c r="J16" s="19" t="n">
        <f aca="false">SUM(F16:H16)</f>
        <v>39.94</v>
      </c>
      <c r="K16" s="21" t="n">
        <v>17251</v>
      </c>
      <c r="L16" s="21" t="n">
        <v>64</v>
      </c>
      <c r="M16" s="22"/>
    </row>
    <row r="17" customFormat="false" ht="17.25" hidden="false" customHeight="true" outlineLevel="0" collapsed="false">
      <c r="A17" s="23"/>
      <c r="B17" s="24"/>
      <c r="C17" s="16" t="n">
        <v>12</v>
      </c>
      <c r="D17" s="17" t="s">
        <v>27</v>
      </c>
      <c r="E17" s="25" t="s">
        <v>16</v>
      </c>
      <c r="F17" s="19" t="n">
        <v>1.06</v>
      </c>
      <c r="G17" s="19" t="n">
        <v>47.66</v>
      </c>
      <c r="H17" s="19" t="n">
        <v>2.89</v>
      </c>
      <c r="I17" s="20"/>
      <c r="J17" s="19" t="n">
        <f aca="false">SUM(F17:H17)</f>
        <v>51.61</v>
      </c>
      <c r="K17" s="21" t="n">
        <v>33249</v>
      </c>
      <c r="L17" s="21" t="n">
        <v>89</v>
      </c>
      <c r="M17" s="22"/>
    </row>
    <row r="18" customFormat="false" ht="17.25" hidden="false" customHeight="true" outlineLevel="0" collapsed="false">
      <c r="A18" s="14"/>
      <c r="B18" s="24"/>
      <c r="C18" s="16" t="n">
        <v>13</v>
      </c>
      <c r="D18" s="17" t="s">
        <v>28</v>
      </c>
      <c r="E18" s="25" t="s">
        <v>16</v>
      </c>
      <c r="F18" s="19" t="n">
        <v>4.23</v>
      </c>
      <c r="G18" s="19" t="n">
        <v>282.56</v>
      </c>
      <c r="H18" s="19" t="n">
        <v>3.79</v>
      </c>
      <c r="I18" s="20"/>
      <c r="J18" s="19" t="n">
        <f aca="false">SUM(F18:H18)</f>
        <v>290.58</v>
      </c>
      <c r="K18" s="21" t="n">
        <v>170393</v>
      </c>
      <c r="L18" s="21" t="n">
        <v>138</v>
      </c>
      <c r="M18" s="22"/>
    </row>
    <row r="19" customFormat="false" ht="17.25" hidden="false" customHeight="true" outlineLevel="0" collapsed="false">
      <c r="A19" s="23"/>
      <c r="B19" s="24"/>
      <c r="C19" s="16" t="n">
        <v>14</v>
      </c>
      <c r="D19" s="17" t="s">
        <v>29</v>
      </c>
      <c r="E19" s="25" t="s">
        <v>16</v>
      </c>
      <c r="F19" s="19" t="n">
        <v>11.48</v>
      </c>
      <c r="G19" s="19" t="n">
        <v>49.81</v>
      </c>
      <c r="H19" s="19" t="n">
        <v>20.23</v>
      </c>
      <c r="I19" s="20"/>
      <c r="J19" s="19" t="n">
        <f aca="false">SUM(F19:H19)</f>
        <v>81.52</v>
      </c>
      <c r="K19" s="21" t="n">
        <v>881</v>
      </c>
      <c r="L19" s="21" t="n">
        <v>425</v>
      </c>
      <c r="M19" s="22"/>
      <c r="O19" s="2" t="n">
        <v>750</v>
      </c>
    </row>
    <row r="20" customFormat="false" ht="17.25" hidden="false" customHeight="true" outlineLevel="0" collapsed="false">
      <c r="A20" s="14"/>
      <c r="B20" s="24"/>
      <c r="C20" s="16" t="n">
        <v>15</v>
      </c>
      <c r="D20" s="17" t="s">
        <v>30</v>
      </c>
      <c r="E20" s="25" t="s">
        <v>16</v>
      </c>
      <c r="F20" s="19" t="n">
        <v>226.39</v>
      </c>
      <c r="G20" s="19" t="n">
        <v>689.27</v>
      </c>
      <c r="H20" s="19" t="n">
        <v>153.57</v>
      </c>
      <c r="I20" s="20"/>
      <c r="J20" s="19" t="n">
        <f aca="false">SUM(F20:H20)</f>
        <v>1069.23</v>
      </c>
      <c r="K20" s="21" t="n">
        <v>12426</v>
      </c>
      <c r="L20" s="21" t="n">
        <v>336</v>
      </c>
      <c r="M20" s="22"/>
    </row>
    <row r="21" customFormat="false" ht="17.25" hidden="false" customHeight="true" outlineLevel="0" collapsed="false">
      <c r="A21" s="23"/>
      <c r="B21" s="24"/>
      <c r="C21" s="16" t="n">
        <v>16</v>
      </c>
      <c r="D21" s="17" t="s">
        <v>31</v>
      </c>
      <c r="E21" s="25" t="s">
        <v>16</v>
      </c>
      <c r="F21" s="19" t="n">
        <v>5.26</v>
      </c>
      <c r="G21" s="19" t="n">
        <v>20.12</v>
      </c>
      <c r="H21" s="19" t="n">
        <v>4.92</v>
      </c>
      <c r="I21" s="20"/>
      <c r="J21" s="19" t="n">
        <f aca="false">SUM(F21:H21)</f>
        <v>30.3</v>
      </c>
      <c r="K21" s="21" t="n">
        <v>12683</v>
      </c>
      <c r="L21" s="21" t="n">
        <v>82</v>
      </c>
      <c r="M21" s="22"/>
    </row>
    <row r="22" customFormat="false" ht="17.25" hidden="false" customHeight="true" outlineLevel="0" collapsed="false">
      <c r="A22" s="14"/>
      <c r="B22" s="24"/>
      <c r="C22" s="16" t="n">
        <v>17</v>
      </c>
      <c r="D22" s="17" t="s">
        <v>32</v>
      </c>
      <c r="E22" s="25" t="s">
        <v>16</v>
      </c>
      <c r="F22" s="19" t="n">
        <v>31.36</v>
      </c>
      <c r="G22" s="19" t="n">
        <v>49.32</v>
      </c>
      <c r="H22" s="19" t="n">
        <v>0</v>
      </c>
      <c r="I22" s="20"/>
      <c r="J22" s="19" t="n">
        <f aca="false">SUM(F22:H22)</f>
        <v>80.68</v>
      </c>
      <c r="K22" s="21" t="n">
        <v>27175</v>
      </c>
      <c r="L22" s="21" t="n">
        <v>65</v>
      </c>
      <c r="M22" s="22"/>
    </row>
    <row r="23" customFormat="false" ht="17.25" hidden="false" customHeight="true" outlineLevel="0" collapsed="false">
      <c r="A23" s="23"/>
      <c r="B23" s="24"/>
      <c r="C23" s="16" t="n">
        <v>18</v>
      </c>
      <c r="D23" s="17" t="s">
        <v>33</v>
      </c>
      <c r="E23" s="25" t="s">
        <v>16</v>
      </c>
      <c r="F23" s="19" t="n">
        <v>2.05</v>
      </c>
      <c r="G23" s="19" t="n">
        <v>17.51</v>
      </c>
      <c r="H23" s="19" t="n">
        <v>3.4</v>
      </c>
      <c r="I23" s="20"/>
      <c r="J23" s="19" t="n">
        <f aca="false">SUM(F23:H23)</f>
        <v>22.96</v>
      </c>
      <c r="K23" s="21" t="n">
        <v>12550</v>
      </c>
      <c r="L23" s="21" t="n">
        <v>59</v>
      </c>
      <c r="M23" s="22"/>
      <c r="O23" s="2" t="n">
        <v>650</v>
      </c>
    </row>
    <row r="24" customFormat="false" ht="17.25" hidden="false" customHeight="true" outlineLevel="0" collapsed="false">
      <c r="A24" s="14"/>
      <c r="B24" s="24"/>
      <c r="C24" s="16" t="n">
        <v>19</v>
      </c>
      <c r="D24" s="17" t="s">
        <v>34</v>
      </c>
      <c r="E24" s="25" t="s">
        <v>16</v>
      </c>
      <c r="F24" s="19" t="n">
        <v>0.51</v>
      </c>
      <c r="G24" s="19" t="n">
        <v>35.19</v>
      </c>
      <c r="H24" s="19" t="n">
        <v>2.4</v>
      </c>
      <c r="I24" s="20"/>
      <c r="J24" s="19" t="n">
        <f aca="false">SUM(F24:H24)</f>
        <v>38.1</v>
      </c>
      <c r="K24" s="21" t="n">
        <v>21053</v>
      </c>
      <c r="L24" s="21" t="n">
        <v>48</v>
      </c>
      <c r="M24" s="22"/>
    </row>
    <row r="25" customFormat="false" ht="17.25" hidden="false" customHeight="true" outlineLevel="0" collapsed="false">
      <c r="A25" s="23"/>
      <c r="B25" s="24"/>
      <c r="C25" s="16" t="n">
        <v>20</v>
      </c>
      <c r="D25" s="17" t="s">
        <v>35</v>
      </c>
      <c r="E25" s="25" t="s">
        <v>16</v>
      </c>
      <c r="F25" s="19" t="n">
        <v>6.21</v>
      </c>
      <c r="G25" s="19" t="n">
        <v>87.22</v>
      </c>
      <c r="H25" s="19" t="n">
        <v>2.95</v>
      </c>
      <c r="I25" s="20"/>
      <c r="J25" s="19" t="n">
        <f aca="false">SUM(F25:H25)</f>
        <v>96.38</v>
      </c>
      <c r="K25" s="21" t="n">
        <v>54571</v>
      </c>
      <c r="L25" s="21" t="n">
        <v>100</v>
      </c>
      <c r="M25" s="22"/>
    </row>
    <row r="26" customFormat="false" ht="17.25" hidden="false" customHeight="true" outlineLevel="0" collapsed="false">
      <c r="A26" s="23"/>
      <c r="B26" s="24"/>
      <c r="C26" s="16" t="n">
        <v>21</v>
      </c>
      <c r="D26" s="17" t="s">
        <v>36</v>
      </c>
      <c r="E26" s="25" t="s">
        <v>16</v>
      </c>
      <c r="F26" s="19" t="n">
        <v>3.11</v>
      </c>
      <c r="G26" s="19" t="n">
        <v>15.17</v>
      </c>
      <c r="H26" s="19" t="n">
        <v>1.89</v>
      </c>
      <c r="I26" s="20"/>
      <c r="J26" s="19" t="n">
        <v>20</v>
      </c>
      <c r="K26" s="21" t="n">
        <v>371</v>
      </c>
      <c r="L26" s="21" t="n">
        <v>50</v>
      </c>
      <c r="M26" s="22"/>
      <c r="O26" s="2" t="n">
        <v>620</v>
      </c>
    </row>
    <row r="27" customFormat="false" ht="17.25" hidden="false" customHeight="true" outlineLevel="0" collapsed="false">
      <c r="A27" s="23"/>
      <c r="B27" s="24"/>
      <c r="C27" s="16" t="n">
        <v>22</v>
      </c>
      <c r="D27" s="17" t="s">
        <v>37</v>
      </c>
      <c r="E27" s="25" t="s">
        <v>16</v>
      </c>
      <c r="F27" s="19"/>
      <c r="G27" s="19" t="n">
        <v>2.88</v>
      </c>
      <c r="H27" s="19"/>
      <c r="I27" s="20"/>
      <c r="J27" s="19" t="n">
        <f aca="false">SUM(F27:H27)</f>
        <v>2.88</v>
      </c>
      <c r="K27" s="21" t="n">
        <v>1161</v>
      </c>
      <c r="L27" s="21" t="n">
        <v>7</v>
      </c>
      <c r="M27" s="22"/>
    </row>
    <row r="28" customFormat="false" ht="17.25" hidden="false" customHeight="true" outlineLevel="0" collapsed="false">
      <c r="A28" s="23"/>
      <c r="B28" s="24"/>
      <c r="C28" s="16" t="n">
        <v>23</v>
      </c>
      <c r="D28" s="17" t="s">
        <v>38</v>
      </c>
      <c r="E28" s="25" t="s">
        <v>16</v>
      </c>
      <c r="F28" s="19" t="n">
        <v>10.36</v>
      </c>
      <c r="G28" s="19" t="n">
        <v>18.34</v>
      </c>
      <c r="H28" s="19" t="n">
        <v>15.69</v>
      </c>
      <c r="I28" s="20"/>
      <c r="J28" s="19" t="n">
        <f aca="false">SUM(F28:H28)</f>
        <v>44.39</v>
      </c>
      <c r="K28" s="21" t="n">
        <v>486</v>
      </c>
      <c r="L28" s="21" t="n">
        <v>39</v>
      </c>
      <c r="M28" s="22"/>
      <c r="O28" s="2" t="n">
        <v>625</v>
      </c>
    </row>
    <row r="29" customFormat="false" ht="17.25" hidden="false" customHeight="true" outlineLevel="0" collapsed="false">
      <c r="A29" s="23"/>
      <c r="B29" s="24"/>
      <c r="C29" s="16" t="n">
        <v>24</v>
      </c>
      <c r="D29" s="17" t="s">
        <v>39</v>
      </c>
      <c r="E29" s="25" t="s">
        <v>16</v>
      </c>
      <c r="F29" s="19" t="n">
        <v>18.85</v>
      </c>
      <c r="G29" s="19" t="n">
        <v>38.29</v>
      </c>
      <c r="H29" s="19" t="n">
        <v>2.69</v>
      </c>
      <c r="I29" s="20"/>
      <c r="J29" s="19" t="n">
        <f aca="false">SUM(F29:H29)</f>
        <v>59.83</v>
      </c>
      <c r="K29" s="21" t="n">
        <v>844</v>
      </c>
      <c r="L29" s="21" t="n">
        <v>104</v>
      </c>
      <c r="M29" s="22"/>
    </row>
    <row r="30" customFormat="false" ht="17.25" hidden="false" customHeight="true" outlineLevel="0" collapsed="false">
      <c r="A30" s="23"/>
      <c r="B30" s="24"/>
      <c r="C30" s="16" t="n">
        <v>25</v>
      </c>
      <c r="D30" s="17" t="s">
        <v>40</v>
      </c>
      <c r="E30" s="25" t="s">
        <v>16</v>
      </c>
      <c r="F30" s="19" t="n">
        <v>1.05</v>
      </c>
      <c r="G30" s="19" t="n">
        <v>89.45</v>
      </c>
      <c r="H30" s="19" t="n">
        <v>0</v>
      </c>
      <c r="I30" s="20"/>
      <c r="J30" s="19" t="n">
        <f aca="false">SUM(F30:H30)</f>
        <v>90.5</v>
      </c>
      <c r="K30" s="21" t="n">
        <v>53371</v>
      </c>
      <c r="L30" s="21" t="n">
        <v>105</v>
      </c>
      <c r="M30" s="22"/>
    </row>
    <row r="31" customFormat="false" ht="17.25" hidden="false" customHeight="true" outlineLevel="0" collapsed="false">
      <c r="A31" s="23"/>
      <c r="B31" s="24"/>
      <c r="C31" s="16" t="n">
        <v>26</v>
      </c>
      <c r="D31" s="17" t="s">
        <v>41</v>
      </c>
      <c r="E31" s="25" t="s">
        <v>16</v>
      </c>
      <c r="F31" s="19" t="n">
        <v>0</v>
      </c>
      <c r="G31" s="19" t="n">
        <v>15.1</v>
      </c>
      <c r="H31" s="19" t="n">
        <v>0</v>
      </c>
      <c r="I31" s="20"/>
      <c r="J31" s="19" t="n">
        <f aca="false">SUM(F31:H31)</f>
        <v>15.1</v>
      </c>
      <c r="K31" s="21" t="n">
        <v>8168</v>
      </c>
      <c r="L31" s="21" t="n">
        <v>174</v>
      </c>
      <c r="M31" s="22"/>
    </row>
    <row r="32" customFormat="false" ht="17.25" hidden="false" customHeight="true" outlineLevel="0" collapsed="false">
      <c r="A32" s="23"/>
      <c r="B32" s="24"/>
      <c r="C32" s="16" t="n">
        <v>27</v>
      </c>
      <c r="D32" s="17" t="s">
        <v>42</v>
      </c>
      <c r="E32" s="25" t="s">
        <v>16</v>
      </c>
      <c r="F32" s="19" t="n">
        <v>0</v>
      </c>
      <c r="G32" s="19" t="n">
        <v>50.26</v>
      </c>
      <c r="H32" s="19" t="n">
        <v>41.13</v>
      </c>
      <c r="I32" s="20"/>
      <c r="J32" s="19" t="n">
        <f aca="false">SUM(F32:H32)</f>
        <v>91.39</v>
      </c>
      <c r="K32" s="21" t="n">
        <v>29408</v>
      </c>
      <c r="L32" s="21" t="n">
        <v>175</v>
      </c>
      <c r="M32" s="22"/>
    </row>
    <row r="33" customFormat="false" ht="17.25" hidden="false" customHeight="true" outlineLevel="0" collapsed="false">
      <c r="A33" s="23"/>
      <c r="B33" s="24"/>
      <c r="C33" s="16" t="n">
        <v>28</v>
      </c>
      <c r="D33" s="17" t="s">
        <v>43</v>
      </c>
      <c r="E33" s="25" t="s">
        <v>16</v>
      </c>
      <c r="F33" s="19" t="n">
        <v>9.18</v>
      </c>
      <c r="G33" s="19" t="n">
        <v>20.13</v>
      </c>
      <c r="H33" s="19" t="n">
        <v>6.76</v>
      </c>
      <c r="I33" s="20"/>
      <c r="J33" s="19" t="n">
        <f aca="false">SUM(F33:H33)</f>
        <v>36.07</v>
      </c>
      <c r="K33" s="21" t="n">
        <v>11022</v>
      </c>
      <c r="L33" s="26" t="n">
        <v>18</v>
      </c>
      <c r="M33" s="22"/>
    </row>
    <row r="34" customFormat="false" ht="17.25" hidden="false" customHeight="true" outlineLevel="0" collapsed="false">
      <c r="A34" s="23"/>
      <c r="B34" s="24"/>
      <c r="C34" s="16" t="n">
        <v>29</v>
      </c>
      <c r="D34" s="17" t="s">
        <v>44</v>
      </c>
      <c r="E34" s="25" t="s">
        <v>16</v>
      </c>
      <c r="F34" s="19" t="n">
        <v>0</v>
      </c>
      <c r="G34" s="19" t="n">
        <v>73.63</v>
      </c>
      <c r="H34" s="19" t="n">
        <v>117.35</v>
      </c>
      <c r="I34" s="20"/>
      <c r="J34" s="19" t="n">
        <f aca="false">SUM(F34:H34)</f>
        <v>190.98</v>
      </c>
      <c r="K34" s="21" t="n">
        <v>44028</v>
      </c>
      <c r="L34" s="21" t="n">
        <v>378</v>
      </c>
      <c r="M34" s="22"/>
    </row>
    <row r="35" customFormat="false" ht="17.25" hidden="false" customHeight="true" outlineLevel="0" collapsed="false">
      <c r="A35" s="23"/>
      <c r="B35" s="24"/>
      <c r="C35" s="16" t="n">
        <v>30</v>
      </c>
      <c r="D35" s="17" t="s">
        <v>45</v>
      </c>
      <c r="E35" s="25" t="s">
        <v>16</v>
      </c>
      <c r="F35" s="19" t="n">
        <v>20.9</v>
      </c>
      <c r="G35" s="27" t="n">
        <v>52.69</v>
      </c>
      <c r="H35" s="19" t="n">
        <v>23.99</v>
      </c>
      <c r="I35" s="20"/>
      <c r="J35" s="19" t="n">
        <f aca="false">SUM(F35:H35)</f>
        <v>97.58</v>
      </c>
      <c r="K35" s="21" t="n">
        <v>31024</v>
      </c>
      <c r="L35" s="21" t="n">
        <v>140</v>
      </c>
      <c r="M35" s="22"/>
      <c r="N35" s="28" t="n">
        <v>4957</v>
      </c>
    </row>
    <row r="36" customFormat="false" ht="17.25" hidden="false" customHeight="true" outlineLevel="0" collapsed="false">
      <c r="A36" s="29" t="s">
        <v>46</v>
      </c>
      <c r="B36" s="29"/>
      <c r="C36" s="29"/>
      <c r="D36" s="29"/>
      <c r="E36" s="30"/>
      <c r="F36" s="31" t="n">
        <f aca="false">SUM(F6:F35)</f>
        <v>595.97</v>
      </c>
      <c r="G36" s="31" t="n">
        <f aca="false">SUM(G6:G35)</f>
        <v>2917.73</v>
      </c>
      <c r="H36" s="31" t="n">
        <f aca="false">SUM(H6:H35)</f>
        <v>563.97</v>
      </c>
      <c r="I36" s="31"/>
      <c r="J36" s="32" t="n">
        <f aca="false">SUM(J6:J35)</f>
        <v>4077.5</v>
      </c>
      <c r="K36" s="33" t="n">
        <f aca="false">SUM(K6:K35)</f>
        <v>1143893</v>
      </c>
      <c r="L36" s="33" t="n">
        <f aca="false">SUM(L6:L35)</f>
        <v>4323</v>
      </c>
      <c r="M36" s="34"/>
      <c r="N36" s="35" t="n">
        <v>1110</v>
      </c>
      <c r="O36" s="36"/>
    </row>
    <row r="37" customFormat="false" ht="17.25" hidden="false" customHeight="true" outlineLevel="0" collapsed="false">
      <c r="A37" s="37" t="s">
        <v>47</v>
      </c>
      <c r="B37" s="38" t="s">
        <v>48</v>
      </c>
      <c r="C37" s="16" t="n">
        <v>31</v>
      </c>
      <c r="D37" s="39" t="s">
        <v>49</v>
      </c>
      <c r="E37" s="25" t="s">
        <v>16</v>
      </c>
      <c r="F37" s="19" t="n">
        <v>35.44</v>
      </c>
      <c r="G37" s="19" t="n">
        <v>429.16</v>
      </c>
      <c r="H37" s="19" t="n">
        <v>25.52</v>
      </c>
      <c r="I37" s="40" t="n">
        <f aca="false">SUM(F37:H37)</f>
        <v>490.12</v>
      </c>
      <c r="J37" s="19" t="n">
        <f aca="false">SUM(F37:H37)</f>
        <v>490.12</v>
      </c>
      <c r="K37" s="41" t="n">
        <v>279600</v>
      </c>
      <c r="L37" s="42" t="n">
        <v>277</v>
      </c>
      <c r="M37" s="43"/>
      <c r="N37" s="2" t="str">
        <f aca="false">LOWER(D37)</f>
        <v>buntul peteri</v>
      </c>
    </row>
    <row r="38" customFormat="false" ht="17.25" hidden="false" customHeight="true" outlineLevel="0" collapsed="false">
      <c r="A38" s="37"/>
      <c r="B38" s="44"/>
      <c r="C38" s="16" t="n">
        <v>32</v>
      </c>
      <c r="D38" s="39" t="s">
        <v>50</v>
      </c>
      <c r="E38" s="25" t="s">
        <v>16</v>
      </c>
      <c r="F38" s="19" t="n">
        <v>10.33</v>
      </c>
      <c r="G38" s="19" t="n">
        <v>184.57</v>
      </c>
      <c r="H38" s="19" t="n">
        <v>20.93</v>
      </c>
      <c r="I38" s="40" t="n">
        <f aca="false">SUM(F38:H38)</f>
        <v>215.83</v>
      </c>
      <c r="J38" s="19" t="n">
        <f aca="false">SUM(F38:H38)</f>
        <v>215.83</v>
      </c>
      <c r="K38" s="21" t="n">
        <v>123821</v>
      </c>
      <c r="L38" s="42" t="n">
        <v>128</v>
      </c>
      <c r="M38" s="43"/>
      <c r="N38" s="2" t="str">
        <f aca="false">LOWER(D38)</f>
        <v>bale musara</v>
      </c>
    </row>
    <row r="39" customFormat="false" ht="17.25" hidden="false" customHeight="true" outlineLevel="0" collapsed="false">
      <c r="A39" s="37"/>
      <c r="B39" s="44"/>
      <c r="C39" s="16" t="n">
        <v>33</v>
      </c>
      <c r="D39" s="39" t="s">
        <v>51</v>
      </c>
      <c r="E39" s="25" t="s">
        <v>16</v>
      </c>
      <c r="F39" s="45" t="n">
        <v>10.52</v>
      </c>
      <c r="G39" s="45" t="n">
        <v>300.62</v>
      </c>
      <c r="H39" s="45" t="n">
        <v>7.83</v>
      </c>
      <c r="I39" s="40" t="n">
        <f aca="false">SUM(F39:H39)</f>
        <v>318.97</v>
      </c>
      <c r="J39" s="19" t="n">
        <f aca="false">SUM(F39:H39)</f>
        <v>318.97</v>
      </c>
      <c r="K39" s="42" t="n">
        <v>199359</v>
      </c>
      <c r="L39" s="42" t="n">
        <v>211</v>
      </c>
      <c r="M39" s="43"/>
      <c r="N39" s="2" t="str">
        <f aca="false">LOWER(D39)</f>
        <v>jungke</v>
      </c>
    </row>
    <row r="40" customFormat="false" ht="17.25" hidden="false" customHeight="true" outlineLevel="0" collapsed="false">
      <c r="A40" s="37"/>
      <c r="B40" s="44"/>
      <c r="C40" s="16" t="n">
        <v>34</v>
      </c>
      <c r="D40" s="39" t="s">
        <v>52</v>
      </c>
      <c r="E40" s="25" t="s">
        <v>16</v>
      </c>
      <c r="F40" s="45" t="n">
        <v>20.54</v>
      </c>
      <c r="G40" s="45" t="n">
        <v>120.15</v>
      </c>
      <c r="H40" s="45" t="n">
        <v>12.94</v>
      </c>
      <c r="I40" s="40" t="n">
        <f aca="false">SUM(F40:H40)</f>
        <v>153.63</v>
      </c>
      <c r="J40" s="19" t="n">
        <f aca="false">SUM(F40:H40)</f>
        <v>153.63</v>
      </c>
      <c r="K40" s="42" t="n">
        <v>77321</v>
      </c>
      <c r="L40" s="42" t="n">
        <v>193</v>
      </c>
      <c r="M40" s="43"/>
      <c r="N40" s="2" t="str">
        <f aca="false">LOWER(D40)</f>
        <v>kepies</v>
      </c>
    </row>
    <row r="41" customFormat="false" ht="17.25" hidden="false" customHeight="true" outlineLevel="0" collapsed="false">
      <c r="A41" s="37"/>
      <c r="B41" s="44"/>
      <c r="C41" s="16" t="n">
        <v>35</v>
      </c>
      <c r="D41" s="39" t="s">
        <v>53</v>
      </c>
      <c r="E41" s="25" t="s">
        <v>16</v>
      </c>
      <c r="F41" s="45" t="n">
        <v>207.16</v>
      </c>
      <c r="G41" s="45" t="n">
        <v>760.39</v>
      </c>
      <c r="H41" s="45" t="n">
        <v>97.88</v>
      </c>
      <c r="I41" s="40" t="n">
        <f aca="false">SUM(F41:H41)</f>
        <v>1065.43</v>
      </c>
      <c r="J41" s="19" t="n">
        <f aca="false">SUM(F41:H41)</f>
        <v>1065.43</v>
      </c>
      <c r="K41" s="42" t="n">
        <v>498978</v>
      </c>
      <c r="L41" s="42" t="n">
        <v>1855</v>
      </c>
      <c r="M41" s="43"/>
      <c r="N41" s="2" t="str">
        <f aca="false">LOWER(D41)</f>
        <v>seni antara</v>
      </c>
    </row>
    <row r="42" customFormat="false" ht="17.25" hidden="false" customHeight="true" outlineLevel="0" collapsed="false">
      <c r="A42" s="37"/>
      <c r="B42" s="44"/>
      <c r="C42" s="16" t="n">
        <v>36</v>
      </c>
      <c r="D42" s="39" t="s">
        <v>54</v>
      </c>
      <c r="E42" s="25" t="s">
        <v>16</v>
      </c>
      <c r="F42" s="19" t="n">
        <v>51.76</v>
      </c>
      <c r="G42" s="19" t="n">
        <v>489.16</v>
      </c>
      <c r="H42" s="19" t="n">
        <v>245.57</v>
      </c>
      <c r="I42" s="40" t="n">
        <f aca="false">SUM(F42:H42)</f>
        <v>786.49</v>
      </c>
      <c r="J42" s="19" t="n">
        <f aca="false">SUM(F42:H42)</f>
        <v>786.49</v>
      </c>
      <c r="K42" s="42" t="n">
        <v>324385</v>
      </c>
      <c r="L42" s="21" t="n">
        <v>533</v>
      </c>
      <c r="M42" s="43"/>
      <c r="N42" s="2" t="str">
        <f aca="false">LOWER(D42)</f>
        <v>pantan tengah jaya</v>
      </c>
    </row>
    <row r="43" customFormat="false" ht="17.25" hidden="false" customHeight="true" outlineLevel="0" collapsed="false">
      <c r="A43" s="37"/>
      <c r="B43" s="44"/>
      <c r="C43" s="16" t="n">
        <v>37</v>
      </c>
      <c r="D43" s="39" t="s">
        <v>55</v>
      </c>
      <c r="E43" s="25" t="s">
        <v>16</v>
      </c>
      <c r="F43" s="19" t="n">
        <v>21.07</v>
      </c>
      <c r="G43" s="19" t="n">
        <v>153.87</v>
      </c>
      <c r="H43" s="19" t="n">
        <v>97.28</v>
      </c>
      <c r="I43" s="40" t="n">
        <f aca="false">SUM(F43:H43)</f>
        <v>272.22</v>
      </c>
      <c r="J43" s="19" t="n">
        <f aca="false">SUM(F43:H43)</f>
        <v>272.22</v>
      </c>
      <c r="K43" s="42" t="n">
        <v>101056</v>
      </c>
      <c r="L43" s="21" t="n">
        <v>60</v>
      </c>
      <c r="M43" s="43"/>
      <c r="N43" s="2" t="str">
        <f aca="false">LOWER(D43)</f>
        <v>ayu ara</v>
      </c>
    </row>
    <row r="44" customFormat="false" ht="17.25" hidden="false" customHeight="true" outlineLevel="0" collapsed="false">
      <c r="A44" s="37"/>
      <c r="B44" s="44"/>
      <c r="C44" s="16" t="n">
        <v>38</v>
      </c>
      <c r="D44" s="39" t="s">
        <v>56</v>
      </c>
      <c r="E44" s="25" t="s">
        <v>16</v>
      </c>
      <c r="F44" s="19" t="n">
        <v>75.17</v>
      </c>
      <c r="G44" s="19" t="n">
        <v>379.3</v>
      </c>
      <c r="H44" s="19" t="n">
        <v>70.41</v>
      </c>
      <c r="I44" s="40" t="n">
        <f aca="false">SUM(F44:H44)</f>
        <v>524.88</v>
      </c>
      <c r="J44" s="19" t="n">
        <f aca="false">SUM(F44:H44)</f>
        <v>524.88</v>
      </c>
      <c r="K44" s="42" t="n">
        <v>246856</v>
      </c>
      <c r="L44" s="21" t="n">
        <v>132</v>
      </c>
      <c r="M44" s="43"/>
      <c r="N44" s="2" t="str">
        <f aca="false">LOWER(D44)</f>
        <v>rikit musara</v>
      </c>
    </row>
    <row r="45" customFormat="false" ht="17.25" hidden="false" customHeight="true" outlineLevel="0" collapsed="false">
      <c r="A45" s="37"/>
      <c r="B45" s="44"/>
      <c r="C45" s="16" t="n">
        <v>39</v>
      </c>
      <c r="D45" s="46" t="s">
        <v>57</v>
      </c>
      <c r="E45" s="25" t="s">
        <v>16</v>
      </c>
      <c r="F45" s="19" t="n">
        <v>25.26</v>
      </c>
      <c r="G45" s="19" t="n">
        <v>261.53</v>
      </c>
      <c r="H45" s="19" t="n">
        <v>80.98</v>
      </c>
      <c r="I45" s="40" t="n">
        <f aca="false">SUM(F45:H45)</f>
        <v>367.77</v>
      </c>
      <c r="J45" s="19" t="n">
        <f aca="false">SUM(F45:H45)</f>
        <v>367.77</v>
      </c>
      <c r="K45" s="21" t="n">
        <v>170135</v>
      </c>
      <c r="L45" s="21" t="n">
        <v>225</v>
      </c>
      <c r="M45" s="43"/>
      <c r="N45" s="2" t="str">
        <f aca="false">LOWER(D45)</f>
        <v>suku sara tangke</v>
      </c>
    </row>
    <row r="46" customFormat="false" ht="17.25" hidden="false" customHeight="true" outlineLevel="0" collapsed="false">
      <c r="A46" s="37"/>
      <c r="B46" s="44"/>
      <c r="C46" s="16" t="n">
        <v>40</v>
      </c>
      <c r="D46" s="46" t="s">
        <v>58</v>
      </c>
      <c r="E46" s="25" t="s">
        <v>16</v>
      </c>
      <c r="F46" s="19" t="n">
        <v>0</v>
      </c>
      <c r="G46" s="19" t="n">
        <v>194.48</v>
      </c>
      <c r="H46" s="19" t="n">
        <v>9.58</v>
      </c>
      <c r="I46" s="40" t="n">
        <f aca="false">SUM(F46:H46)</f>
        <v>204.06</v>
      </c>
      <c r="J46" s="19" t="n">
        <f aca="false">SUM(F46:H46)</f>
        <v>204.06</v>
      </c>
      <c r="K46" s="21" t="n">
        <v>131160</v>
      </c>
      <c r="L46" s="21" t="n">
        <v>241</v>
      </c>
      <c r="M46" s="43"/>
      <c r="N46" s="2" t="str">
        <f aca="false">LOWER(D46)</f>
        <v>ramung jaya</v>
      </c>
    </row>
    <row r="47" customFormat="false" ht="17.25" hidden="false" customHeight="true" outlineLevel="0" collapsed="false">
      <c r="A47" s="37"/>
      <c r="B47" s="44"/>
      <c r="C47" s="16" t="n">
        <v>41</v>
      </c>
      <c r="D47" s="46" t="s">
        <v>59</v>
      </c>
      <c r="E47" s="25" t="s">
        <v>16</v>
      </c>
      <c r="F47" s="19" t="n">
        <v>76.65</v>
      </c>
      <c r="G47" s="19" t="n">
        <v>374.02</v>
      </c>
      <c r="H47" s="19" t="n">
        <v>202.4</v>
      </c>
      <c r="I47" s="40" t="n">
        <f aca="false">SUM(F47:H47)</f>
        <v>653.07</v>
      </c>
      <c r="J47" s="19" t="n">
        <f aca="false">SUM(F47:H47)</f>
        <v>653.07</v>
      </c>
      <c r="K47" s="21" t="n">
        <v>242766</v>
      </c>
      <c r="L47" s="21" t="n">
        <v>160</v>
      </c>
      <c r="M47" s="43"/>
      <c r="N47" s="2" t="str">
        <f aca="false">LOWER(D47)</f>
        <v>timur jaya</v>
      </c>
    </row>
    <row r="48" customFormat="false" ht="17.25" hidden="false" customHeight="true" outlineLevel="0" collapsed="false">
      <c r="A48" s="37"/>
      <c r="B48" s="44"/>
      <c r="C48" s="16" t="n">
        <v>42</v>
      </c>
      <c r="D48" s="46" t="s">
        <v>60</v>
      </c>
      <c r="E48" s="25" t="s">
        <v>16</v>
      </c>
      <c r="F48" s="19" t="n">
        <v>4.12</v>
      </c>
      <c r="G48" s="19" t="n">
        <v>111.34</v>
      </c>
      <c r="H48" s="19" t="n">
        <v>5.72</v>
      </c>
      <c r="I48" s="40" t="n">
        <f aca="false">SUM(F48:H48)</f>
        <v>121.18</v>
      </c>
      <c r="J48" s="19" t="n">
        <f aca="false">SUM(F48:H48)</f>
        <v>121.18</v>
      </c>
      <c r="K48" s="21" t="n">
        <v>73641</v>
      </c>
      <c r="L48" s="21" t="n">
        <v>56</v>
      </c>
      <c r="M48" s="43"/>
      <c r="N48" s="2" t="str">
        <f aca="false">LOWER(D48)</f>
        <v>ceding ayu</v>
      </c>
    </row>
    <row r="49" customFormat="false" ht="17.25" hidden="false" customHeight="true" outlineLevel="0" collapsed="false">
      <c r="A49" s="37"/>
      <c r="B49" s="44"/>
      <c r="C49" s="16" t="n">
        <v>43</v>
      </c>
      <c r="D49" s="39" t="s">
        <v>61</v>
      </c>
      <c r="E49" s="25" t="s">
        <v>16</v>
      </c>
      <c r="F49" s="19" t="n">
        <v>2.1</v>
      </c>
      <c r="G49" s="19" t="n">
        <v>104.38</v>
      </c>
      <c r="H49" s="19" t="n">
        <v>5.68</v>
      </c>
      <c r="I49" s="40" t="n">
        <f aca="false">SUM(F49:H49)</f>
        <v>112.16</v>
      </c>
      <c r="J49" s="19" t="n">
        <f aca="false">SUM(F49:H49)</f>
        <v>112.16</v>
      </c>
      <c r="K49" s="21" t="n">
        <v>68296</v>
      </c>
      <c r="L49" s="42" t="n">
        <v>234</v>
      </c>
      <c r="M49" s="43"/>
      <c r="N49" s="2" t="str">
        <f aca="false">LOWER(D49)</f>
        <v>darul aman</v>
      </c>
    </row>
    <row r="50" customFormat="false" ht="17.25" hidden="false" customHeight="true" outlineLevel="0" collapsed="false">
      <c r="A50" s="37"/>
      <c r="B50" s="44"/>
      <c r="C50" s="16" t="n">
        <v>44</v>
      </c>
      <c r="D50" s="39" t="s">
        <v>62</v>
      </c>
      <c r="E50" s="25" t="s">
        <v>16</v>
      </c>
      <c r="F50" s="45" t="n">
        <v>24.97</v>
      </c>
      <c r="G50" s="45" t="n">
        <v>362.03</v>
      </c>
      <c r="H50" s="45" t="n">
        <v>19.93</v>
      </c>
      <c r="I50" s="40" t="n">
        <f aca="false">SUM(F50:H50)</f>
        <v>406.93</v>
      </c>
      <c r="J50" s="19" t="n">
        <f aca="false">SUM(F50:H50)</f>
        <v>406.93</v>
      </c>
      <c r="K50" s="42" t="n">
        <v>237461</v>
      </c>
      <c r="L50" s="42" t="n">
        <v>331</v>
      </c>
      <c r="M50" s="43"/>
      <c r="N50" s="2" t="str">
        <f aca="false">LOWER(D50)</f>
        <v>burni pase</v>
      </c>
    </row>
    <row r="51" customFormat="false" ht="17.25" hidden="false" customHeight="true" outlineLevel="0" collapsed="false">
      <c r="A51" s="37"/>
      <c r="B51" s="44"/>
      <c r="C51" s="16" t="n">
        <v>45</v>
      </c>
      <c r="D51" s="39" t="s">
        <v>63</v>
      </c>
      <c r="E51" s="25" t="s">
        <v>16</v>
      </c>
      <c r="F51" s="45" t="n">
        <v>12.48</v>
      </c>
      <c r="G51" s="45" t="n">
        <v>1143.27</v>
      </c>
      <c r="H51" s="45" t="n">
        <v>7.66</v>
      </c>
      <c r="I51" s="40" t="n">
        <f aca="false">SUM(F51:H51)</f>
        <v>1163.41</v>
      </c>
      <c r="J51" s="19" t="n">
        <f aca="false">SUM(F51:H51)</f>
        <v>1163.41</v>
      </c>
      <c r="K51" s="42" t="n">
        <v>739857</v>
      </c>
      <c r="L51" s="42" t="n">
        <v>1411</v>
      </c>
      <c r="M51" s="47"/>
      <c r="N51" s="2" t="str">
        <f aca="false">LOWER(D51)</f>
        <v>wih tenang uken</v>
      </c>
    </row>
    <row r="52" customFormat="false" ht="17.25" hidden="false" customHeight="true" outlineLevel="0" collapsed="false">
      <c r="A52" s="37"/>
      <c r="B52" s="44"/>
      <c r="C52" s="16" t="n">
        <v>46</v>
      </c>
      <c r="D52" s="39" t="s">
        <v>64</v>
      </c>
      <c r="E52" s="25" t="s">
        <v>16</v>
      </c>
      <c r="F52" s="19" t="n">
        <v>31.8</v>
      </c>
      <c r="G52" s="19" t="n">
        <v>289.69</v>
      </c>
      <c r="H52" s="19" t="n">
        <v>67.05</v>
      </c>
      <c r="I52" s="40" t="n">
        <f aca="false">SUM(F52:H52)</f>
        <v>388.54</v>
      </c>
      <c r="J52" s="19" t="n">
        <f aca="false">SUM(F52:H52)</f>
        <v>388.54</v>
      </c>
      <c r="K52" s="42" t="n">
        <v>193827</v>
      </c>
      <c r="L52" s="21" t="n">
        <v>789</v>
      </c>
      <c r="M52" s="43"/>
      <c r="N52" s="2" t="str">
        <f aca="false">LOWER(D52)</f>
        <v>bintang permata</v>
      </c>
    </row>
    <row r="53" customFormat="false" ht="17.25" hidden="false" customHeight="true" outlineLevel="0" collapsed="false">
      <c r="A53" s="37"/>
      <c r="B53" s="44"/>
      <c r="C53" s="16" t="n">
        <v>47</v>
      </c>
      <c r="D53" s="39" t="s">
        <v>65</v>
      </c>
      <c r="E53" s="25" t="s">
        <v>16</v>
      </c>
      <c r="F53" s="19" t="n">
        <v>6.17</v>
      </c>
      <c r="G53" s="19" t="n">
        <v>109.32</v>
      </c>
      <c r="H53" s="19" t="n">
        <v>6.85</v>
      </c>
      <c r="I53" s="40" t="n">
        <f aca="false">SUM(F53:H53)</f>
        <v>122.34</v>
      </c>
      <c r="J53" s="19" t="n">
        <f aca="false">SUM(F53:H53)</f>
        <v>122.34</v>
      </c>
      <c r="K53" s="21" t="n">
        <v>71044</v>
      </c>
      <c r="L53" s="21" t="n">
        <v>64</v>
      </c>
      <c r="M53" s="43"/>
      <c r="N53" s="2" t="str">
        <f aca="false">LOWER(D53)</f>
        <v>uning sejuk</v>
      </c>
    </row>
    <row r="54" customFormat="false" ht="17.25" hidden="false" customHeight="true" outlineLevel="0" collapsed="false">
      <c r="A54" s="37"/>
      <c r="B54" s="44"/>
      <c r="C54" s="16" t="n">
        <v>48</v>
      </c>
      <c r="D54" s="39" t="s">
        <v>66</v>
      </c>
      <c r="E54" s="25" t="s">
        <v>16</v>
      </c>
      <c r="F54" s="19" t="n">
        <v>20.81</v>
      </c>
      <c r="G54" s="19" t="n">
        <v>93.16</v>
      </c>
      <c r="H54" s="19" t="n">
        <v>9.74</v>
      </c>
      <c r="I54" s="40" t="n">
        <f aca="false">SUM(F54:H54)</f>
        <v>123.71</v>
      </c>
      <c r="J54" s="19" t="n">
        <f aca="false">SUM(F54:H54)</f>
        <v>123.71</v>
      </c>
      <c r="K54" s="21" t="n">
        <v>60967</v>
      </c>
      <c r="L54" s="21" t="n">
        <v>103</v>
      </c>
      <c r="M54" s="43"/>
      <c r="N54" s="2" t="str">
        <f aca="false">LOWER(D54)</f>
        <v>wih tenang toa/bakongan baru</v>
      </c>
    </row>
    <row r="55" customFormat="false" ht="17.25" hidden="false" customHeight="true" outlineLevel="0" collapsed="false">
      <c r="A55" s="37"/>
      <c r="B55" s="44"/>
      <c r="C55" s="16" t="n">
        <v>49</v>
      </c>
      <c r="D55" s="39" t="s">
        <v>67</v>
      </c>
      <c r="E55" s="25" t="s">
        <v>16</v>
      </c>
      <c r="F55" s="19" t="n">
        <v>12.72</v>
      </c>
      <c r="G55" s="19" t="n">
        <v>346.61</v>
      </c>
      <c r="H55" s="19" t="n">
        <v>9.38</v>
      </c>
      <c r="I55" s="40" t="n">
        <f aca="false">SUM(F55:H55)</f>
        <v>368.71</v>
      </c>
      <c r="J55" s="19" t="n">
        <f aca="false">SUM(F55:H55)</f>
        <v>368.71</v>
      </c>
      <c r="K55" s="21" t="n">
        <v>225429</v>
      </c>
      <c r="L55" s="21" t="n">
        <v>295</v>
      </c>
      <c r="M55" s="43"/>
      <c r="N55" s="2" t="str">
        <f aca="false">LOWER(D55)</f>
        <v>jelobok</v>
      </c>
    </row>
    <row r="56" customFormat="false" ht="17.25" hidden="false" customHeight="true" outlineLevel="0" collapsed="false">
      <c r="A56" s="37"/>
      <c r="B56" s="44"/>
      <c r="C56" s="16" t="n">
        <v>50</v>
      </c>
      <c r="D56" s="39" t="s">
        <v>68</v>
      </c>
      <c r="E56" s="25" t="s">
        <v>16</v>
      </c>
      <c r="F56" s="19" t="n">
        <v>115.6</v>
      </c>
      <c r="G56" s="19" t="n">
        <v>474.55</v>
      </c>
      <c r="H56" s="19" t="n">
        <v>118.12</v>
      </c>
      <c r="I56" s="40" t="n">
        <f aca="false">SUM(F56:H56)</f>
        <v>708.27</v>
      </c>
      <c r="J56" s="19" t="n">
        <f aca="false">SUM(F56:H56)</f>
        <v>708.27</v>
      </c>
      <c r="K56" s="21" t="n">
        <v>319443</v>
      </c>
      <c r="L56" s="21" t="n">
        <v>414</v>
      </c>
      <c r="M56" s="43"/>
      <c r="N56" s="2" t="str">
        <f aca="false">LOWER(D56)</f>
        <v>penosan jaya</v>
      </c>
    </row>
    <row r="57" customFormat="false" ht="17.25" hidden="false" customHeight="true" outlineLevel="0" collapsed="false">
      <c r="A57" s="37"/>
      <c r="B57" s="44"/>
      <c r="C57" s="16" t="n">
        <v>51</v>
      </c>
      <c r="D57" s="46" t="s">
        <v>69</v>
      </c>
      <c r="E57" s="25" t="s">
        <v>16</v>
      </c>
      <c r="F57" s="19" t="n">
        <v>5.13</v>
      </c>
      <c r="G57" s="19" t="n">
        <v>236.27</v>
      </c>
      <c r="H57" s="19" t="n">
        <v>15.07</v>
      </c>
      <c r="I57" s="40" t="n">
        <f aca="false">SUM(F57:H57)</f>
        <v>256.47</v>
      </c>
      <c r="J57" s="19" t="n">
        <f aca="false">SUM(F57:H57)</f>
        <v>256.47</v>
      </c>
      <c r="K57" s="21" t="n">
        <v>157513</v>
      </c>
      <c r="L57" s="21" t="n">
        <v>344</v>
      </c>
      <c r="M57" s="43"/>
      <c r="N57" s="2" t="str">
        <f aca="false">LOWER(D57)</f>
        <v>bener pepanyi</v>
      </c>
    </row>
    <row r="58" customFormat="false" ht="17.25" hidden="false" customHeight="true" outlineLevel="0" collapsed="false">
      <c r="A58" s="37"/>
      <c r="B58" s="44"/>
      <c r="C58" s="16" t="n">
        <v>52</v>
      </c>
      <c r="D58" s="46" t="s">
        <v>70</v>
      </c>
      <c r="E58" s="25" t="s">
        <v>16</v>
      </c>
      <c r="F58" s="19" t="n">
        <v>48.33</v>
      </c>
      <c r="G58" s="19" t="n">
        <v>474.04</v>
      </c>
      <c r="H58" s="19" t="n">
        <v>69.17</v>
      </c>
      <c r="I58" s="40" t="n">
        <f aca="false">SUM(F58:H58)</f>
        <v>591.54</v>
      </c>
      <c r="J58" s="19" t="n">
        <f aca="false">SUM(F58:H58)</f>
        <v>591.54</v>
      </c>
      <c r="K58" s="21" t="n">
        <v>304296</v>
      </c>
      <c r="L58" s="21" t="n">
        <v>406</v>
      </c>
      <c r="M58" s="43"/>
      <c r="N58" s="2" t="str">
        <f aca="false">LOWER(D58)</f>
        <v>bintang bener</v>
      </c>
    </row>
    <row r="59" customFormat="false" ht="17.25" hidden="false" customHeight="true" outlineLevel="0" collapsed="false">
      <c r="A59" s="37"/>
      <c r="B59" s="44"/>
      <c r="C59" s="16" t="n">
        <v>53</v>
      </c>
      <c r="D59" s="46" t="s">
        <v>71</v>
      </c>
      <c r="E59" s="25" t="s">
        <v>16</v>
      </c>
      <c r="F59" s="19" t="n">
        <v>9.28</v>
      </c>
      <c r="G59" s="19" t="n">
        <v>53.02</v>
      </c>
      <c r="H59" s="19" t="n">
        <v>35.87</v>
      </c>
      <c r="I59" s="40" t="n">
        <f aca="false">SUM(F59:H59)</f>
        <v>98.17</v>
      </c>
      <c r="J59" s="19" t="n">
        <f aca="false">SUM(F59:H59)</f>
        <v>98.17</v>
      </c>
      <c r="K59" s="21" t="n">
        <v>35085</v>
      </c>
      <c r="L59" s="21" t="n">
        <v>143</v>
      </c>
      <c r="M59" s="43"/>
      <c r="N59" s="2" t="str">
        <f aca="false">LOWER(D59)</f>
        <v>pemango</v>
      </c>
    </row>
    <row r="60" customFormat="false" ht="17.25" hidden="false" customHeight="true" outlineLevel="0" collapsed="false">
      <c r="A60" s="37"/>
      <c r="B60" s="44"/>
      <c r="C60" s="16" t="n">
        <v>54</v>
      </c>
      <c r="D60" s="46" t="s">
        <v>72</v>
      </c>
      <c r="E60" s="25" t="s">
        <v>16</v>
      </c>
      <c r="F60" s="19" t="n">
        <v>8.3</v>
      </c>
      <c r="G60" s="19" t="n">
        <v>115.63</v>
      </c>
      <c r="H60" s="19" t="n">
        <v>31.68</v>
      </c>
      <c r="I60" s="40" t="n">
        <f aca="false">SUM(F60:H60)</f>
        <v>155.61</v>
      </c>
      <c r="J60" s="19" t="n">
        <f aca="false">SUM(F60:H60)</f>
        <v>155.61</v>
      </c>
      <c r="K60" s="21" t="n">
        <v>76270</v>
      </c>
      <c r="L60" s="21" t="n">
        <v>505</v>
      </c>
      <c r="M60" s="43"/>
      <c r="N60" s="2" t="str">
        <f aca="false">LOWER(D60)</f>
        <v>gelampang wih tenang uken</v>
      </c>
    </row>
    <row r="61" customFormat="false" ht="17.25" hidden="false" customHeight="true" outlineLevel="0" collapsed="false">
      <c r="A61" s="37"/>
      <c r="B61" s="44"/>
      <c r="C61" s="16" t="n">
        <v>55</v>
      </c>
      <c r="D61" s="46" t="s">
        <v>73</v>
      </c>
      <c r="E61" s="25" t="s">
        <v>16</v>
      </c>
      <c r="F61" s="19" t="n">
        <v>38.64</v>
      </c>
      <c r="G61" s="19" t="n">
        <v>247</v>
      </c>
      <c r="H61" s="19" t="n">
        <v>72.82</v>
      </c>
      <c r="I61" s="40" t="n">
        <f aca="false">SUM(F61:H61)</f>
        <v>358.46</v>
      </c>
      <c r="J61" s="19" t="n">
        <f aca="false">SUM(F61:H61)</f>
        <v>358.46</v>
      </c>
      <c r="K61" s="21" t="n">
        <v>160108</v>
      </c>
      <c r="L61" s="21" t="n">
        <v>69</v>
      </c>
      <c r="M61" s="43"/>
      <c r="N61" s="2" t="str">
        <f aca="false">LOWER(D61)</f>
        <v>bale purnama</v>
      </c>
    </row>
    <row r="62" customFormat="false" ht="17.25" hidden="false" customHeight="true" outlineLevel="0" collapsed="false">
      <c r="A62" s="37"/>
      <c r="B62" s="44"/>
      <c r="C62" s="16" t="n">
        <v>56</v>
      </c>
      <c r="D62" s="39" t="s">
        <v>74</v>
      </c>
      <c r="E62" s="25" t="s">
        <v>16</v>
      </c>
      <c r="F62" s="19" t="n">
        <v>206.27</v>
      </c>
      <c r="G62" s="19" t="n">
        <v>478.36</v>
      </c>
      <c r="H62" s="19" t="n">
        <v>48.61</v>
      </c>
      <c r="I62" s="40" t="n">
        <f aca="false">SUM(F62:H62)</f>
        <v>733.24</v>
      </c>
      <c r="J62" s="19" t="n">
        <f aca="false">SUM(F62:H62)</f>
        <v>733.24</v>
      </c>
      <c r="K62" s="21" t="n">
        <v>308035</v>
      </c>
      <c r="L62" s="21" t="n">
        <v>462</v>
      </c>
      <c r="M62" s="43"/>
      <c r="N62" s="2" t="str">
        <f aca="false">LOWER(D62)</f>
        <v>temas mumanang</v>
      </c>
    </row>
    <row r="63" customFormat="false" ht="17.25" hidden="false" customHeight="true" outlineLevel="0" collapsed="false">
      <c r="A63" s="37"/>
      <c r="B63" s="44"/>
      <c r="C63" s="16" t="n">
        <v>57</v>
      </c>
      <c r="D63" s="39" t="s">
        <v>75</v>
      </c>
      <c r="E63" s="25" t="s">
        <v>16</v>
      </c>
      <c r="F63" s="19" t="n">
        <v>10.56</v>
      </c>
      <c r="G63" s="19" t="n">
        <v>147.48</v>
      </c>
      <c r="H63" s="19" t="n">
        <v>19.57</v>
      </c>
      <c r="I63" s="40" t="n">
        <f aca="false">SUM(F63:H63)</f>
        <v>177.61</v>
      </c>
      <c r="J63" s="19" t="n">
        <f aca="false">SUM(F63:H63)</f>
        <v>177.61</v>
      </c>
      <c r="K63" s="21" t="n">
        <v>98570</v>
      </c>
      <c r="L63" s="21" t="n">
        <v>187</v>
      </c>
      <c r="M63" s="43"/>
      <c r="N63" s="2" t="str">
        <f aca="false">LOWER(D63)</f>
        <v>tawar bengi</v>
      </c>
    </row>
    <row r="64" customFormat="false" ht="17.25" hidden="false" customHeight="true" outlineLevel="0" collapsed="false">
      <c r="A64" s="29" t="s">
        <v>46</v>
      </c>
      <c r="B64" s="29"/>
      <c r="C64" s="29"/>
      <c r="D64" s="29"/>
      <c r="E64" s="30"/>
      <c r="F64" s="31" t="n">
        <f aca="false">SUM(F37:F63)</f>
        <v>1091.18</v>
      </c>
      <c r="G64" s="31" t="n">
        <f aca="false">SUM(G37:G63)</f>
        <v>8433.4</v>
      </c>
      <c r="H64" s="31" t="n">
        <f aca="false">SUM(H37:H63)</f>
        <v>1414.24</v>
      </c>
      <c r="I64" s="31"/>
      <c r="J64" s="32" t="n">
        <f aca="false">SUM(J37:J63)</f>
        <v>10938.82</v>
      </c>
      <c r="K64" s="33" t="n">
        <f aca="false">SUM(K37:K63)</f>
        <v>5525279</v>
      </c>
      <c r="L64" s="33" t="n">
        <f aca="false">SUM(L37:L63)</f>
        <v>9828</v>
      </c>
      <c r="M64" s="34"/>
    </row>
    <row r="65" customFormat="false" ht="17.25" hidden="false" customHeight="true" outlineLevel="0" collapsed="false">
      <c r="A65" s="37" t="s">
        <v>76</v>
      </c>
      <c r="B65" s="38" t="s">
        <v>77</v>
      </c>
      <c r="C65" s="16" t="n">
        <v>58</v>
      </c>
      <c r="D65" s="48" t="s">
        <v>78</v>
      </c>
      <c r="E65" s="25" t="s">
        <v>16</v>
      </c>
      <c r="F65" s="45" t="n">
        <v>4.17</v>
      </c>
      <c r="G65" s="45" t="n">
        <v>373.87</v>
      </c>
      <c r="H65" s="45" t="n">
        <v>1.95</v>
      </c>
      <c r="I65" s="49"/>
      <c r="J65" s="19" t="n">
        <f aca="false">SUM(F65:H65)</f>
        <v>379.99</v>
      </c>
      <c r="K65" s="21" t="n">
        <v>264498</v>
      </c>
      <c r="L65" s="50" t="n">
        <v>210</v>
      </c>
      <c r="M65" s="51"/>
    </row>
    <row r="66" customFormat="false" ht="17.25" hidden="false" customHeight="true" outlineLevel="0" collapsed="false">
      <c r="A66" s="37"/>
      <c r="B66" s="44"/>
      <c r="C66" s="16" t="n">
        <v>59</v>
      </c>
      <c r="D66" s="48" t="s">
        <v>79</v>
      </c>
      <c r="E66" s="25" t="s">
        <v>16</v>
      </c>
      <c r="F66" s="45" t="n">
        <v>6.17</v>
      </c>
      <c r="G66" s="45" t="n">
        <v>185.88</v>
      </c>
      <c r="H66" s="45" t="n">
        <v>11.45</v>
      </c>
      <c r="I66" s="49"/>
      <c r="J66" s="19" t="n">
        <f aca="false">SUM(F66:H66)</f>
        <v>203.5</v>
      </c>
      <c r="K66" s="21" t="n">
        <v>129464</v>
      </c>
      <c r="L66" s="50" t="n">
        <v>147</v>
      </c>
      <c r="M66" s="51"/>
    </row>
    <row r="67" customFormat="false" ht="17.25" hidden="false" customHeight="true" outlineLevel="0" collapsed="false">
      <c r="A67" s="37"/>
      <c r="B67" s="44"/>
      <c r="C67" s="16" t="n">
        <v>60</v>
      </c>
      <c r="D67" s="48" t="s">
        <v>80</v>
      </c>
      <c r="E67" s="25" t="s">
        <v>16</v>
      </c>
      <c r="F67" s="45" t="n">
        <v>6.36</v>
      </c>
      <c r="G67" s="45" t="n">
        <v>283.44</v>
      </c>
      <c r="H67" s="45" t="n">
        <v>7.84</v>
      </c>
      <c r="I67" s="49"/>
      <c r="J67" s="19" t="n">
        <f aca="false">SUM(F67:H67)</f>
        <v>297.64</v>
      </c>
      <c r="K67" s="21" t="n">
        <v>203356</v>
      </c>
      <c r="L67" s="50" t="n">
        <v>165</v>
      </c>
      <c r="M67" s="51"/>
    </row>
    <row r="68" customFormat="false" ht="17.25" hidden="false" customHeight="true" outlineLevel="0" collapsed="false">
      <c r="A68" s="37"/>
      <c r="B68" s="44"/>
      <c r="C68" s="16" t="n">
        <v>61</v>
      </c>
      <c r="D68" s="52" t="s">
        <v>81</v>
      </c>
      <c r="E68" s="25" t="s">
        <v>16</v>
      </c>
      <c r="F68" s="45" t="n">
        <v>8.47</v>
      </c>
      <c r="G68" s="45" t="n">
        <v>338.56</v>
      </c>
      <c r="H68" s="45" t="n">
        <v>19.66</v>
      </c>
      <c r="I68" s="49"/>
      <c r="J68" s="19" t="n">
        <f aca="false">SUM(F68:H68)</f>
        <v>366.69</v>
      </c>
      <c r="K68" s="21" t="n">
        <v>235430</v>
      </c>
      <c r="L68" s="50" t="n">
        <v>172</v>
      </c>
      <c r="M68" s="51"/>
    </row>
    <row r="69" customFormat="false" ht="17.25" hidden="false" customHeight="true" outlineLevel="0" collapsed="false">
      <c r="A69" s="37"/>
      <c r="B69" s="44"/>
      <c r="C69" s="16" t="n">
        <v>62</v>
      </c>
      <c r="D69" s="52" t="s">
        <v>82</v>
      </c>
      <c r="E69" s="25" t="s">
        <v>16</v>
      </c>
      <c r="F69" s="45" t="n">
        <v>7.37</v>
      </c>
      <c r="G69" s="45" t="n">
        <v>211.12</v>
      </c>
      <c r="H69" s="45" t="n">
        <v>7.73</v>
      </c>
      <c r="I69" s="49"/>
      <c r="J69" s="19" t="n">
        <f aca="false">SUM(F69:H69)</f>
        <v>226.22</v>
      </c>
      <c r="K69" s="21" t="n">
        <v>146623</v>
      </c>
      <c r="L69" s="50" t="n">
        <v>227</v>
      </c>
      <c r="M69" s="51"/>
    </row>
    <row r="70" customFormat="false" ht="17.25" hidden="false" customHeight="true" outlineLevel="0" collapsed="false">
      <c r="A70" s="37"/>
      <c r="B70" s="44"/>
      <c r="C70" s="16" t="n">
        <v>63</v>
      </c>
      <c r="D70" s="52" t="s">
        <v>83</v>
      </c>
      <c r="E70" s="25" t="s">
        <v>16</v>
      </c>
      <c r="F70" s="45" t="n">
        <v>2.04</v>
      </c>
      <c r="G70" s="45" t="n">
        <v>105.01</v>
      </c>
      <c r="H70" s="45" t="n">
        <v>9.49</v>
      </c>
      <c r="I70" s="49"/>
      <c r="J70" s="19" t="n">
        <f aca="false">SUM(F70:H70)</f>
        <v>116.54</v>
      </c>
      <c r="K70" s="21" t="n">
        <v>75163</v>
      </c>
      <c r="L70" s="50" t="n">
        <v>191</v>
      </c>
      <c r="M70" s="51"/>
    </row>
    <row r="71" customFormat="false" ht="17.25" hidden="false" customHeight="true" outlineLevel="0" collapsed="false">
      <c r="A71" s="37"/>
      <c r="B71" s="44"/>
      <c r="C71" s="16" t="n">
        <v>64</v>
      </c>
      <c r="D71" s="52" t="s">
        <v>84</v>
      </c>
      <c r="E71" s="25" t="s">
        <v>16</v>
      </c>
      <c r="F71" s="45" t="n">
        <v>12.47</v>
      </c>
      <c r="G71" s="45" t="n">
        <v>386.93</v>
      </c>
      <c r="H71" s="45" t="n">
        <v>31.08</v>
      </c>
      <c r="I71" s="49"/>
      <c r="J71" s="19" t="n">
        <f aca="false">SUM(F71:H71)</f>
        <v>430.48</v>
      </c>
      <c r="K71" s="21" t="n">
        <v>279280</v>
      </c>
      <c r="L71" s="50" t="n">
        <v>134</v>
      </c>
      <c r="M71" s="51"/>
    </row>
    <row r="72" customFormat="false" ht="17.25" hidden="false" customHeight="true" outlineLevel="0" collapsed="false">
      <c r="A72" s="37"/>
      <c r="B72" s="44"/>
      <c r="C72" s="16" t="n">
        <v>65</v>
      </c>
      <c r="D72" s="53" t="s">
        <v>85</v>
      </c>
      <c r="E72" s="25" t="s">
        <v>16</v>
      </c>
      <c r="F72" s="45" t="n">
        <v>6.2</v>
      </c>
      <c r="G72" s="45" t="n">
        <v>199.32</v>
      </c>
      <c r="H72" s="45" t="n">
        <v>14.57</v>
      </c>
      <c r="I72" s="49"/>
      <c r="J72" s="19" t="n">
        <f aca="false">SUM(F72:H72)</f>
        <v>220.09</v>
      </c>
      <c r="K72" s="21" t="n">
        <v>141863</v>
      </c>
      <c r="L72" s="50" t="n">
        <v>278</v>
      </c>
      <c r="M72" s="51"/>
    </row>
    <row r="73" customFormat="false" ht="17.25" hidden="false" customHeight="true" outlineLevel="0" collapsed="false">
      <c r="A73" s="37"/>
      <c r="B73" s="44"/>
      <c r="C73" s="16" t="n">
        <v>66</v>
      </c>
      <c r="D73" s="53" t="s">
        <v>86</v>
      </c>
      <c r="E73" s="25" t="s">
        <v>16</v>
      </c>
      <c r="F73" s="45" t="n">
        <v>7.39</v>
      </c>
      <c r="G73" s="45" t="n">
        <v>187.83</v>
      </c>
      <c r="H73" s="45" t="n">
        <v>4.91</v>
      </c>
      <c r="I73" s="49"/>
      <c r="J73" s="19" t="n">
        <f aca="false">SUM(F73:H73)</f>
        <v>200.13</v>
      </c>
      <c r="K73" s="21" t="n">
        <v>129986</v>
      </c>
      <c r="L73" s="50" t="n">
        <v>111</v>
      </c>
      <c r="M73" s="51"/>
    </row>
    <row r="74" customFormat="false" ht="17.25" hidden="false" customHeight="true" outlineLevel="0" collapsed="false">
      <c r="A74" s="37"/>
      <c r="B74" s="44"/>
      <c r="C74" s="16" t="n">
        <v>67</v>
      </c>
      <c r="D74" s="53" t="s">
        <v>87</v>
      </c>
      <c r="E74" s="25" t="s">
        <v>16</v>
      </c>
      <c r="F74" s="45" t="n">
        <v>5.26</v>
      </c>
      <c r="G74" s="45" t="n">
        <v>233.09</v>
      </c>
      <c r="H74" s="45" t="n">
        <v>4.77</v>
      </c>
      <c r="I74" s="49"/>
      <c r="J74" s="19" t="n">
        <f aca="false">SUM(F74:H74)</f>
        <v>243.12</v>
      </c>
      <c r="K74" s="21" t="n">
        <v>161356</v>
      </c>
      <c r="L74" s="50" t="n">
        <v>107</v>
      </c>
      <c r="M74" s="51"/>
    </row>
    <row r="75" customFormat="false" ht="17.25" hidden="false" customHeight="true" outlineLevel="0" collapsed="false">
      <c r="A75" s="37"/>
      <c r="B75" s="44"/>
      <c r="C75" s="16" t="n">
        <v>68</v>
      </c>
      <c r="D75" s="53" t="s">
        <v>88</v>
      </c>
      <c r="E75" s="25" t="s">
        <v>16</v>
      </c>
      <c r="F75" s="45" t="n">
        <v>8.3</v>
      </c>
      <c r="G75" s="45" t="n">
        <v>458.9</v>
      </c>
      <c r="H75" s="45" t="n">
        <v>6.61</v>
      </c>
      <c r="I75" s="49"/>
      <c r="J75" s="19" t="n">
        <f aca="false">SUM(F75:H75)</f>
        <v>473.81</v>
      </c>
      <c r="K75" s="21" t="n">
        <v>316624</v>
      </c>
      <c r="L75" s="50" t="n">
        <v>229</v>
      </c>
      <c r="M75" s="51"/>
    </row>
    <row r="76" customFormat="false" ht="17.25" hidden="false" customHeight="true" outlineLevel="0" collapsed="false">
      <c r="A76" s="37"/>
      <c r="B76" s="44"/>
      <c r="C76" s="16" t="n">
        <v>69</v>
      </c>
      <c r="D76" s="53" t="s">
        <v>89</v>
      </c>
      <c r="E76" s="25" t="s">
        <v>16</v>
      </c>
      <c r="F76" s="45" t="n">
        <v>9.46</v>
      </c>
      <c r="G76" s="45" t="n">
        <v>287.17</v>
      </c>
      <c r="H76" s="45" t="n">
        <v>6.64</v>
      </c>
      <c r="I76" s="49"/>
      <c r="J76" s="19" t="n">
        <f aca="false">SUM(F76:H76)</f>
        <v>303.27</v>
      </c>
      <c r="K76" s="21" t="n">
        <v>199270</v>
      </c>
      <c r="L76" s="50" t="n">
        <v>191</v>
      </c>
      <c r="M76" s="51"/>
    </row>
    <row r="77" customFormat="false" ht="17.25" hidden="false" customHeight="true" outlineLevel="0" collapsed="false">
      <c r="A77" s="37"/>
      <c r="B77" s="44"/>
      <c r="C77" s="16" t="n">
        <v>70</v>
      </c>
      <c r="D77" s="48" t="s">
        <v>90</v>
      </c>
      <c r="E77" s="25" t="s">
        <v>16</v>
      </c>
      <c r="F77" s="45" t="n">
        <v>8.18</v>
      </c>
      <c r="G77" s="45" t="n">
        <v>389.14</v>
      </c>
      <c r="H77" s="45" t="n">
        <v>11.42</v>
      </c>
      <c r="I77" s="49"/>
      <c r="J77" s="19" t="n">
        <f aca="false">SUM(F77:H77)</f>
        <v>408.74</v>
      </c>
      <c r="K77" s="21" t="n">
        <v>280859</v>
      </c>
      <c r="L77" s="50" t="n">
        <v>205</v>
      </c>
      <c r="M77" s="51"/>
    </row>
    <row r="78" customFormat="false" ht="17.25" hidden="false" customHeight="true" outlineLevel="0" collapsed="false">
      <c r="A78" s="37"/>
      <c r="B78" s="44"/>
      <c r="C78" s="16" t="n">
        <v>71</v>
      </c>
      <c r="D78" s="52" t="s">
        <v>91</v>
      </c>
      <c r="E78" s="25" t="s">
        <v>16</v>
      </c>
      <c r="F78" s="45" t="n">
        <v>15.25</v>
      </c>
      <c r="G78" s="54" t="n">
        <v>194.83</v>
      </c>
      <c r="H78" s="45" t="n">
        <v>6.7</v>
      </c>
      <c r="I78" s="49"/>
      <c r="J78" s="19" t="n">
        <f aca="false">SUM(F78:H78)</f>
        <v>216.78</v>
      </c>
      <c r="K78" s="21" t="n">
        <v>135749</v>
      </c>
      <c r="L78" s="50" t="n">
        <v>157</v>
      </c>
      <c r="M78" s="51"/>
    </row>
    <row r="79" customFormat="false" ht="17.25" hidden="false" customHeight="true" outlineLevel="0" collapsed="false">
      <c r="A79" s="37"/>
      <c r="B79" s="44"/>
      <c r="C79" s="16" t="n">
        <v>72</v>
      </c>
      <c r="D79" s="48" t="s">
        <v>92</v>
      </c>
      <c r="E79" s="25" t="s">
        <v>16</v>
      </c>
      <c r="F79" s="45" t="n">
        <v>15.42</v>
      </c>
      <c r="G79" s="55" t="n">
        <v>323.3</v>
      </c>
      <c r="H79" s="45" t="n">
        <v>7.61</v>
      </c>
      <c r="I79" s="49"/>
      <c r="J79" s="19" t="n">
        <f aca="false">SUM(F79:H79)</f>
        <v>346.33</v>
      </c>
      <c r="K79" s="21" t="n">
        <v>222760</v>
      </c>
      <c r="L79" s="50" t="n">
        <v>254</v>
      </c>
      <c r="M79" s="51"/>
    </row>
    <row r="80" customFormat="false" ht="17.25" hidden="false" customHeight="true" outlineLevel="0" collapsed="false">
      <c r="A80" s="29" t="s">
        <v>46</v>
      </c>
      <c r="B80" s="29"/>
      <c r="C80" s="29"/>
      <c r="D80" s="29"/>
      <c r="E80" s="30"/>
      <c r="F80" s="31" t="n">
        <f aca="false">SUM(F65:F79)</f>
        <v>122.51</v>
      </c>
      <c r="G80" s="31" t="n">
        <f aca="false">SUM(G65:G79)</f>
        <v>4158.39</v>
      </c>
      <c r="H80" s="31" t="n">
        <f aca="false">SUM(H65:H79)</f>
        <v>152.43</v>
      </c>
      <c r="I80" s="31"/>
      <c r="J80" s="32" t="n">
        <f aca="false">SUM(J65:J79)</f>
        <v>4433.33</v>
      </c>
      <c r="K80" s="33" t="n">
        <f aca="false">SUM(K65:K79)</f>
        <v>2922281</v>
      </c>
      <c r="L80" s="33" t="n">
        <f aca="false">SUM(L65:L79)</f>
        <v>2778</v>
      </c>
      <c r="M80" s="34"/>
    </row>
    <row r="81" customFormat="false" ht="17.25" hidden="false" customHeight="true" outlineLevel="0" collapsed="false">
      <c r="A81" s="37" t="s">
        <v>93</v>
      </c>
      <c r="B81" s="38" t="s">
        <v>94</v>
      </c>
      <c r="C81" s="16" t="n">
        <v>73</v>
      </c>
      <c r="D81" s="56" t="s">
        <v>95</v>
      </c>
      <c r="E81" s="25" t="s">
        <v>16</v>
      </c>
      <c r="F81" s="57" t="n">
        <v>3.18</v>
      </c>
      <c r="G81" s="57" t="n">
        <v>8.6</v>
      </c>
      <c r="H81" s="57" t="s">
        <v>96</v>
      </c>
      <c r="I81" s="58"/>
      <c r="J81" s="19" t="n">
        <f aca="false">SUM(F81:H81)</f>
        <v>11.78</v>
      </c>
      <c r="K81" s="21" t="n">
        <v>3688</v>
      </c>
      <c r="L81" s="41" t="n">
        <v>66</v>
      </c>
      <c r="M81" s="51"/>
    </row>
    <row r="82" customFormat="false" ht="17.25" hidden="false" customHeight="true" outlineLevel="0" collapsed="false">
      <c r="A82" s="37"/>
      <c r="B82" s="44"/>
      <c r="C82" s="16" t="n">
        <v>74</v>
      </c>
      <c r="D82" s="17" t="s">
        <v>97</v>
      </c>
      <c r="E82" s="25" t="s">
        <v>16</v>
      </c>
      <c r="F82" s="19" t="n">
        <v>2.03</v>
      </c>
      <c r="G82" s="19" t="n">
        <v>9.59</v>
      </c>
      <c r="H82" s="19" t="n">
        <v>2.84</v>
      </c>
      <c r="I82" s="20"/>
      <c r="J82" s="19" t="n">
        <f aca="false">SUM(F82:H82)</f>
        <v>14.46</v>
      </c>
      <c r="K82" s="21" t="n">
        <v>4424</v>
      </c>
      <c r="L82" s="21" t="n">
        <v>23</v>
      </c>
      <c r="M82" s="51"/>
    </row>
    <row r="83" customFormat="false" ht="17.25" hidden="false" customHeight="true" outlineLevel="0" collapsed="false">
      <c r="A83" s="37"/>
      <c r="B83" s="44"/>
      <c r="C83" s="16" t="n">
        <v>75</v>
      </c>
      <c r="D83" s="17" t="s">
        <v>98</v>
      </c>
      <c r="E83" s="25" t="s">
        <v>16</v>
      </c>
      <c r="F83" s="19" t="n">
        <v>4.09</v>
      </c>
      <c r="G83" s="19" t="n">
        <v>56.73</v>
      </c>
      <c r="H83" s="19" t="n">
        <v>10.74</v>
      </c>
      <c r="I83" s="20"/>
      <c r="J83" s="19" t="n">
        <f aca="false">SUM(F83:H83)</f>
        <v>71.56</v>
      </c>
      <c r="K83" s="21" t="n">
        <v>36104</v>
      </c>
      <c r="L83" s="21" t="n">
        <v>163</v>
      </c>
      <c r="M83" s="51"/>
    </row>
    <row r="84" customFormat="false" ht="17.25" hidden="false" customHeight="true" outlineLevel="0" collapsed="false">
      <c r="A84" s="37"/>
      <c r="B84" s="44"/>
      <c r="C84" s="16" t="n">
        <v>76</v>
      </c>
      <c r="D84" s="17" t="s">
        <v>99</v>
      </c>
      <c r="E84" s="25" t="s">
        <v>16</v>
      </c>
      <c r="F84" s="19" t="n">
        <v>4.18</v>
      </c>
      <c r="G84" s="19" t="n">
        <v>38.14</v>
      </c>
      <c r="H84" s="19" t="s">
        <v>96</v>
      </c>
      <c r="I84" s="20"/>
      <c r="J84" s="19" t="n">
        <f aca="false">SUM(F84:H84)</f>
        <v>42.32</v>
      </c>
      <c r="K84" s="21" t="n">
        <v>23866</v>
      </c>
      <c r="L84" s="21" t="n">
        <v>167</v>
      </c>
      <c r="M84" s="51"/>
    </row>
    <row r="85" customFormat="false" ht="17.25" hidden="false" customHeight="true" outlineLevel="0" collapsed="false">
      <c r="A85" s="37"/>
      <c r="B85" s="44"/>
      <c r="C85" s="16" t="n">
        <v>77</v>
      </c>
      <c r="D85" s="17" t="s">
        <v>100</v>
      </c>
      <c r="E85" s="25" t="s">
        <v>16</v>
      </c>
      <c r="F85" s="19" t="n">
        <v>0</v>
      </c>
      <c r="G85" s="19" t="n">
        <v>177.4</v>
      </c>
      <c r="H85" s="19" t="n">
        <v>12.53</v>
      </c>
      <c r="I85" s="20"/>
      <c r="J85" s="19" t="n">
        <f aca="false">SUM(F85:H85)</f>
        <v>189.93</v>
      </c>
      <c r="K85" s="21" t="n">
        <v>114865</v>
      </c>
      <c r="L85" s="21" t="n">
        <v>99</v>
      </c>
      <c r="M85" s="51"/>
    </row>
    <row r="86" customFormat="false" ht="17.25" hidden="false" customHeight="true" outlineLevel="0" collapsed="false">
      <c r="A86" s="37"/>
      <c r="B86" s="44"/>
      <c r="C86" s="16" t="n">
        <v>78</v>
      </c>
      <c r="D86" s="17" t="s">
        <v>101</v>
      </c>
      <c r="E86" s="25" t="s">
        <v>16</v>
      </c>
      <c r="F86" s="19" t="n">
        <v>2</v>
      </c>
      <c r="G86" s="27" t="n">
        <v>17.36</v>
      </c>
      <c r="H86" s="19" t="n">
        <v>12.8</v>
      </c>
      <c r="I86" s="20"/>
      <c r="J86" s="19" t="n">
        <f aca="false">SUM(F86:H86)</f>
        <v>32.16</v>
      </c>
      <c r="K86" s="21" t="n">
        <v>10277</v>
      </c>
      <c r="L86" s="21" t="n">
        <v>59</v>
      </c>
      <c r="M86" s="51"/>
    </row>
    <row r="87" customFormat="false" ht="17.25" hidden="false" customHeight="true" outlineLevel="0" collapsed="false">
      <c r="A87" s="37"/>
      <c r="B87" s="44"/>
      <c r="C87" s="16" t="n">
        <v>79</v>
      </c>
      <c r="D87" s="17" t="s">
        <v>102</v>
      </c>
      <c r="E87" s="25" t="s">
        <v>16</v>
      </c>
      <c r="F87" s="19" t="n">
        <v>43.12</v>
      </c>
      <c r="G87" s="19" t="n">
        <v>58.29</v>
      </c>
      <c r="H87" s="19" t="n">
        <v>3.91</v>
      </c>
      <c r="I87" s="20"/>
      <c r="J87" s="19" t="n">
        <f aca="false">SUM(F87:H87)</f>
        <v>105.32</v>
      </c>
      <c r="K87" s="21" t="n">
        <v>37837</v>
      </c>
      <c r="L87" s="21" t="n">
        <v>415</v>
      </c>
      <c r="M87" s="51"/>
    </row>
    <row r="88" customFormat="false" ht="17.25" hidden="false" customHeight="true" outlineLevel="0" collapsed="false">
      <c r="A88" s="37"/>
      <c r="B88" s="44"/>
      <c r="C88" s="16" t="n">
        <v>80</v>
      </c>
      <c r="D88" s="17" t="s">
        <v>103</v>
      </c>
      <c r="E88" s="25" t="s">
        <v>16</v>
      </c>
      <c r="F88" s="19" t="n">
        <v>21.2</v>
      </c>
      <c r="G88" s="19" t="n">
        <v>44.69</v>
      </c>
      <c r="H88" s="19" t="n">
        <v>35.5</v>
      </c>
      <c r="I88" s="20"/>
      <c r="J88" s="19" t="n">
        <f aca="false">SUM(F88:H88)</f>
        <v>101.39</v>
      </c>
      <c r="K88" s="21" t="n">
        <v>31442</v>
      </c>
      <c r="L88" s="21" t="n">
        <v>208</v>
      </c>
      <c r="M88" s="51"/>
    </row>
    <row r="89" customFormat="false" ht="17.25" hidden="false" customHeight="true" outlineLevel="0" collapsed="false">
      <c r="A89" s="37"/>
      <c r="B89" s="44"/>
      <c r="C89" s="16" t="n">
        <v>81</v>
      </c>
      <c r="D89" s="17" t="s">
        <v>104</v>
      </c>
      <c r="E89" s="25" t="s">
        <v>16</v>
      </c>
      <c r="F89" s="19" t="n">
        <v>6.49</v>
      </c>
      <c r="G89" s="19" t="n">
        <v>151.63</v>
      </c>
      <c r="H89" s="19" t="n">
        <v>22.71</v>
      </c>
      <c r="I89" s="20"/>
      <c r="J89" s="19" t="n">
        <f aca="false">SUM(F89:H89)</f>
        <v>180.83</v>
      </c>
      <c r="K89" s="21" t="n">
        <v>125011</v>
      </c>
      <c r="L89" s="21" t="n">
        <v>213</v>
      </c>
      <c r="M89" s="51"/>
    </row>
    <row r="90" customFormat="false" ht="17.25" hidden="false" customHeight="true" outlineLevel="0" collapsed="false">
      <c r="A90" s="37"/>
      <c r="B90" s="44"/>
      <c r="C90" s="16" t="n">
        <v>82</v>
      </c>
      <c r="D90" s="17" t="s">
        <v>105</v>
      </c>
      <c r="E90" s="25" t="s">
        <v>16</v>
      </c>
      <c r="F90" s="19" t="s">
        <v>96</v>
      </c>
      <c r="G90" s="19" t="n">
        <v>167.11</v>
      </c>
      <c r="H90" s="19" t="n">
        <v>1.43</v>
      </c>
      <c r="I90" s="20"/>
      <c r="J90" s="19" t="n">
        <f aca="false">SUM(F90:H90)</f>
        <v>168.54</v>
      </c>
      <c r="K90" s="21" t="n">
        <v>109046</v>
      </c>
      <c r="L90" s="21" t="n">
        <v>136</v>
      </c>
      <c r="M90" s="51"/>
    </row>
    <row r="91" customFormat="false" ht="17.25" hidden="false" customHeight="true" outlineLevel="0" collapsed="false">
      <c r="A91" s="37"/>
      <c r="B91" s="44"/>
      <c r="C91" s="16" t="n">
        <v>83</v>
      </c>
      <c r="D91" s="17" t="s">
        <v>106</v>
      </c>
      <c r="E91" s="25" t="s">
        <v>16</v>
      </c>
      <c r="F91" s="19" t="n">
        <v>3.63</v>
      </c>
      <c r="G91" s="19" t="n">
        <v>14.07</v>
      </c>
      <c r="H91" s="19" t="s">
        <v>96</v>
      </c>
      <c r="I91" s="20"/>
      <c r="J91" s="19" t="n">
        <f aca="false">SUM(F91:H91)</f>
        <v>17.7</v>
      </c>
      <c r="K91" s="21" t="n">
        <v>10282</v>
      </c>
      <c r="L91" s="21" t="n">
        <v>355</v>
      </c>
      <c r="M91" s="51"/>
    </row>
    <row r="92" customFormat="false" ht="17.25" hidden="false" customHeight="true" outlineLevel="0" collapsed="false">
      <c r="A92" s="37"/>
      <c r="B92" s="44"/>
      <c r="C92" s="16" t="n">
        <v>84</v>
      </c>
      <c r="D92" s="59" t="s">
        <v>107</v>
      </c>
      <c r="E92" s="25" t="s">
        <v>16</v>
      </c>
      <c r="F92" s="19" t="n">
        <v>7.17</v>
      </c>
      <c r="G92" s="19" t="n">
        <v>291.48</v>
      </c>
      <c r="H92" s="19" t="n">
        <v>20.8</v>
      </c>
      <c r="I92" s="20"/>
      <c r="J92" s="19" t="n">
        <f aca="false">SUM(F92:H92)</f>
        <v>319.45</v>
      </c>
      <c r="K92" s="21" t="n">
        <v>192419</v>
      </c>
      <c r="L92" s="21" t="n">
        <v>188</v>
      </c>
      <c r="M92" s="51"/>
    </row>
    <row r="93" customFormat="false" ht="17.25" hidden="false" customHeight="true" outlineLevel="0" collapsed="false">
      <c r="A93" s="37"/>
      <c r="B93" s="44"/>
      <c r="C93" s="16" t="n">
        <v>85</v>
      </c>
      <c r="D93" s="17" t="s">
        <v>108</v>
      </c>
      <c r="E93" s="25" t="s">
        <v>16</v>
      </c>
      <c r="F93" s="19" t="s">
        <v>96</v>
      </c>
      <c r="G93" s="27" t="n">
        <v>123.99</v>
      </c>
      <c r="H93" s="19" t="s">
        <v>96</v>
      </c>
      <c r="I93" s="20"/>
      <c r="J93" s="19" t="n">
        <f aca="false">SUM(F93:H93)</f>
        <v>123.99</v>
      </c>
      <c r="K93" s="21" t="n">
        <v>69187</v>
      </c>
      <c r="L93" s="21" t="n">
        <v>164</v>
      </c>
      <c r="M93" s="51"/>
    </row>
    <row r="94" customFormat="false" ht="17.25" hidden="false" customHeight="true" outlineLevel="0" collapsed="false">
      <c r="A94" s="37"/>
      <c r="B94" s="44"/>
      <c r="C94" s="16" t="n">
        <v>86</v>
      </c>
      <c r="D94" s="17" t="s">
        <v>109</v>
      </c>
      <c r="E94" s="25" t="s">
        <v>16</v>
      </c>
      <c r="F94" s="19" t="n">
        <v>6.88</v>
      </c>
      <c r="G94" s="27" t="n">
        <v>28.53</v>
      </c>
      <c r="H94" s="19" t="n">
        <v>6.61</v>
      </c>
      <c r="I94" s="20"/>
      <c r="J94" s="19" t="n">
        <f aca="false">SUM(F94:H94)</f>
        <v>42.02</v>
      </c>
      <c r="K94" s="21" t="n">
        <v>15356</v>
      </c>
      <c r="L94" s="21" t="n">
        <v>73</v>
      </c>
      <c r="M94" s="51"/>
    </row>
    <row r="95" customFormat="false" ht="17.25" hidden="false" customHeight="true" outlineLevel="0" collapsed="false">
      <c r="A95" s="37"/>
      <c r="B95" s="44"/>
      <c r="C95" s="16" t="n">
        <v>87</v>
      </c>
      <c r="D95" s="17" t="s">
        <v>110</v>
      </c>
      <c r="E95" s="25" t="s">
        <v>16</v>
      </c>
      <c r="F95" s="19" t="n">
        <v>6.1</v>
      </c>
      <c r="G95" s="27" t="n">
        <v>100.77</v>
      </c>
      <c r="H95" s="19" t="n">
        <v>30.23</v>
      </c>
      <c r="I95" s="20"/>
      <c r="J95" s="19" t="n">
        <f aca="false">SUM(F95:H95)</f>
        <v>137.1</v>
      </c>
      <c r="K95" s="21" t="n">
        <v>82345</v>
      </c>
      <c r="L95" s="21" t="n">
        <v>137</v>
      </c>
      <c r="M95" s="51"/>
    </row>
    <row r="96" customFormat="false" ht="17.25" hidden="false" customHeight="true" outlineLevel="0" collapsed="false">
      <c r="A96" s="37"/>
      <c r="B96" s="44"/>
      <c r="C96" s="16" t="n">
        <v>88</v>
      </c>
      <c r="D96" s="17" t="s">
        <v>111</v>
      </c>
      <c r="E96" s="25" t="s">
        <v>16</v>
      </c>
      <c r="F96" s="19" t="n">
        <v>6.14</v>
      </c>
      <c r="G96" s="27" t="n">
        <v>112.51</v>
      </c>
      <c r="H96" s="19" t="n">
        <v>48.87</v>
      </c>
      <c r="I96" s="20"/>
      <c r="J96" s="19" t="n">
        <f aca="false">SUM(F96:H96)</f>
        <v>167.52</v>
      </c>
      <c r="K96" s="21" t="n">
        <v>95058</v>
      </c>
      <c r="L96" s="21" t="n">
        <v>161</v>
      </c>
      <c r="M96" s="51"/>
    </row>
    <row r="97" customFormat="false" ht="17.25" hidden="false" customHeight="true" outlineLevel="0" collapsed="false">
      <c r="A97" s="37"/>
      <c r="B97" s="44"/>
      <c r="C97" s="16" t="n">
        <v>89</v>
      </c>
      <c r="D97" s="17" t="s">
        <v>112</v>
      </c>
      <c r="E97" s="25" t="s">
        <v>16</v>
      </c>
      <c r="F97" s="19" t="n">
        <v>6.3</v>
      </c>
      <c r="G97" s="27" t="n">
        <v>425.37</v>
      </c>
      <c r="H97" s="19" t="n">
        <v>30.03</v>
      </c>
      <c r="I97" s="20"/>
      <c r="J97" s="19" t="n">
        <f aca="false">SUM(F97:H97)</f>
        <v>461.7</v>
      </c>
      <c r="K97" s="21" t="n">
        <v>273852</v>
      </c>
      <c r="L97" s="21" t="n">
        <v>270</v>
      </c>
      <c r="M97" s="51"/>
    </row>
    <row r="98" customFormat="false" ht="17.25" hidden="false" customHeight="true" outlineLevel="0" collapsed="false">
      <c r="A98" s="37"/>
      <c r="B98" s="44"/>
      <c r="C98" s="16" t="n">
        <v>90</v>
      </c>
      <c r="D98" s="17" t="s">
        <v>113</v>
      </c>
      <c r="E98" s="25" t="s">
        <v>16</v>
      </c>
      <c r="F98" s="19" t="n">
        <v>4.18</v>
      </c>
      <c r="G98" s="27" t="n">
        <v>62.19</v>
      </c>
      <c r="H98" s="19" t="n">
        <v>1.93</v>
      </c>
      <c r="I98" s="20"/>
      <c r="J98" s="19" t="n">
        <f aca="false">SUM(F98:H98)</f>
        <v>68.3</v>
      </c>
      <c r="K98" s="21" t="n">
        <v>40093</v>
      </c>
      <c r="L98" s="21" t="n">
        <v>228</v>
      </c>
      <c r="M98" s="51"/>
    </row>
    <row r="99" customFormat="false" ht="17.25" hidden="false" customHeight="true" outlineLevel="0" collapsed="false">
      <c r="A99" s="37"/>
      <c r="B99" s="44"/>
      <c r="C99" s="16" t="n">
        <v>91</v>
      </c>
      <c r="D99" s="59" t="s">
        <v>114</v>
      </c>
      <c r="E99" s="25" t="s">
        <v>16</v>
      </c>
      <c r="F99" s="19" t="n">
        <v>4.21</v>
      </c>
      <c r="G99" s="27" t="n">
        <v>123.82</v>
      </c>
      <c r="H99" s="19" t="n">
        <v>1.9</v>
      </c>
      <c r="I99" s="20"/>
      <c r="J99" s="19" t="n">
        <f aca="false">SUM(F99:H99)</f>
        <v>129.93</v>
      </c>
      <c r="K99" s="21" t="n">
        <v>72693</v>
      </c>
      <c r="L99" s="21" t="n">
        <v>118</v>
      </c>
      <c r="M99" s="51"/>
    </row>
    <row r="100" customFormat="false" ht="17.25" hidden="false" customHeight="true" outlineLevel="0" collapsed="false">
      <c r="A100" s="37"/>
      <c r="B100" s="44"/>
      <c r="C100" s="16" t="n">
        <v>92</v>
      </c>
      <c r="D100" s="17" t="s">
        <v>115</v>
      </c>
      <c r="E100" s="25" t="s">
        <v>16</v>
      </c>
      <c r="F100" s="19" t="n">
        <v>3.31</v>
      </c>
      <c r="G100" s="27" t="n">
        <v>216.45</v>
      </c>
      <c r="H100" s="19" t="n">
        <v>2.56</v>
      </c>
      <c r="I100" s="20"/>
      <c r="J100" s="19" t="n">
        <f aca="false">SUM(F100:H100)</f>
        <v>222.32</v>
      </c>
      <c r="K100" s="21" t="n">
        <v>182709</v>
      </c>
      <c r="L100" s="21" t="n">
        <v>179</v>
      </c>
      <c r="M100" s="51"/>
    </row>
    <row r="101" customFormat="false" ht="17.25" hidden="false" customHeight="true" outlineLevel="0" collapsed="false">
      <c r="A101" s="37"/>
      <c r="B101" s="44"/>
      <c r="C101" s="16" t="n">
        <v>93</v>
      </c>
      <c r="D101" s="17" t="s">
        <v>116</v>
      </c>
      <c r="E101" s="25" t="s">
        <v>16</v>
      </c>
      <c r="F101" s="19" t="s">
        <v>96</v>
      </c>
      <c r="G101" s="19" t="n">
        <v>84.99</v>
      </c>
      <c r="H101" s="19" t="s">
        <v>96</v>
      </c>
      <c r="I101" s="60"/>
      <c r="J101" s="19" t="n">
        <f aca="false">SUM(F101:H101)</f>
        <v>84.99</v>
      </c>
      <c r="K101" s="21" t="n">
        <v>50673</v>
      </c>
      <c r="L101" s="21" t="n">
        <v>92</v>
      </c>
      <c r="M101" s="51"/>
    </row>
    <row r="102" customFormat="false" ht="17.25" hidden="false" customHeight="true" outlineLevel="0" collapsed="false">
      <c r="A102" s="37"/>
      <c r="B102" s="44"/>
      <c r="C102" s="16" t="n">
        <v>94</v>
      </c>
      <c r="D102" s="17" t="s">
        <v>94</v>
      </c>
      <c r="E102" s="25" t="s">
        <v>16</v>
      </c>
      <c r="F102" s="19" t="n">
        <v>4.23</v>
      </c>
      <c r="G102" s="27" t="n">
        <v>69.38</v>
      </c>
      <c r="H102" s="19" t="n">
        <v>20.62</v>
      </c>
      <c r="I102" s="20"/>
      <c r="J102" s="19" t="n">
        <f aca="false">SUM(F102:H102)</f>
        <v>94.23</v>
      </c>
      <c r="K102" s="21" t="n">
        <v>44053</v>
      </c>
      <c r="L102" s="21" t="n">
        <v>212</v>
      </c>
      <c r="M102" s="51"/>
    </row>
    <row r="103" customFormat="false" ht="17.25" hidden="false" customHeight="true" outlineLevel="0" collapsed="false">
      <c r="A103" s="37"/>
      <c r="B103" s="44"/>
      <c r="C103" s="16" t="n">
        <v>95</v>
      </c>
      <c r="D103" s="17" t="s">
        <v>117</v>
      </c>
      <c r="E103" s="25" t="s">
        <v>16</v>
      </c>
      <c r="F103" s="19" t="n">
        <v>16.4</v>
      </c>
      <c r="G103" s="27" t="n">
        <v>49.1</v>
      </c>
      <c r="H103" s="19" t="n">
        <v>15.46</v>
      </c>
      <c r="I103" s="20"/>
      <c r="J103" s="19" t="n">
        <f aca="false">SUM(F103:H103)</f>
        <v>80.96</v>
      </c>
      <c r="K103" s="21" t="n">
        <v>26900</v>
      </c>
      <c r="L103" s="21" t="n">
        <v>224</v>
      </c>
      <c r="M103" s="51"/>
    </row>
    <row r="104" customFormat="false" ht="17.25" hidden="false" customHeight="true" outlineLevel="0" collapsed="false">
      <c r="A104" s="37"/>
      <c r="B104" s="44"/>
      <c r="C104" s="16" t="n">
        <v>96</v>
      </c>
      <c r="D104" s="17" t="s">
        <v>118</v>
      </c>
      <c r="E104" s="25" t="s">
        <v>16</v>
      </c>
      <c r="F104" s="19" t="n">
        <v>8.24</v>
      </c>
      <c r="G104" s="27" t="n">
        <v>133.85</v>
      </c>
      <c r="H104" s="19" t="n">
        <v>5.67</v>
      </c>
      <c r="I104" s="20"/>
      <c r="J104" s="19" t="n">
        <f aca="false">SUM(F104:H104)</f>
        <v>147.76</v>
      </c>
      <c r="K104" s="21" t="n">
        <v>95057</v>
      </c>
      <c r="L104" s="21" t="n">
        <v>281</v>
      </c>
      <c r="M104" s="51"/>
    </row>
    <row r="105" customFormat="false" ht="17.25" hidden="false" customHeight="true" outlineLevel="0" collapsed="false">
      <c r="A105" s="37"/>
      <c r="B105" s="44"/>
      <c r="C105" s="16" t="n">
        <v>97</v>
      </c>
      <c r="D105" s="17" t="s">
        <v>119</v>
      </c>
      <c r="E105" s="25" t="s">
        <v>16</v>
      </c>
      <c r="F105" s="19" t="n">
        <v>9.53</v>
      </c>
      <c r="G105" s="27" t="n">
        <v>108.59</v>
      </c>
      <c r="H105" s="19" t="n">
        <v>12.65</v>
      </c>
      <c r="I105" s="20"/>
      <c r="J105" s="19" t="n">
        <f aca="false">SUM(F105:H105)</f>
        <v>130.77</v>
      </c>
      <c r="K105" s="21" t="n">
        <v>79594</v>
      </c>
      <c r="L105" s="21" t="n">
        <v>176</v>
      </c>
      <c r="M105" s="51"/>
    </row>
    <row r="106" customFormat="false" ht="17.25" hidden="false" customHeight="true" outlineLevel="0" collapsed="false">
      <c r="A106" s="37"/>
      <c r="B106" s="44"/>
      <c r="C106" s="16" t="n">
        <v>98</v>
      </c>
      <c r="D106" s="17" t="s">
        <v>120</v>
      </c>
      <c r="E106" s="25" t="s">
        <v>16</v>
      </c>
      <c r="F106" s="19" t="n">
        <v>4.2</v>
      </c>
      <c r="G106" s="27" t="n">
        <v>74.9</v>
      </c>
      <c r="H106" s="19" t="n">
        <v>6</v>
      </c>
      <c r="I106" s="20"/>
      <c r="J106" s="19" t="n">
        <f aca="false">SUM(F106:H106)</f>
        <v>85.1</v>
      </c>
      <c r="K106" s="21" t="n">
        <v>63245</v>
      </c>
      <c r="L106" s="21" t="n">
        <v>167</v>
      </c>
      <c r="M106" s="51"/>
    </row>
    <row r="107" customFormat="false" ht="17.25" hidden="false" customHeight="true" outlineLevel="0" collapsed="false">
      <c r="A107" s="29" t="s">
        <v>46</v>
      </c>
      <c r="B107" s="29"/>
      <c r="C107" s="29"/>
      <c r="D107" s="29"/>
      <c r="E107" s="30"/>
      <c r="F107" s="31" t="n">
        <f aca="false">SUM(F81:F106)</f>
        <v>176.81</v>
      </c>
      <c r="G107" s="31" t="n">
        <f aca="false">SUM(G81:G106)</f>
        <v>2749.53</v>
      </c>
      <c r="H107" s="31" t="n">
        <f aca="false">SUM(H81:H106)</f>
        <v>305.79</v>
      </c>
      <c r="I107" s="31"/>
      <c r="J107" s="32" t="n">
        <f aca="false">SUM(J81:J106)</f>
        <v>3232.13</v>
      </c>
      <c r="K107" s="33" t="n">
        <f aca="false">SUM(K81:K106)</f>
        <v>1890076</v>
      </c>
      <c r="L107" s="33" t="n">
        <f aca="false">SUM(L81:L106)</f>
        <v>4574</v>
      </c>
      <c r="M107" s="34"/>
    </row>
    <row r="108" customFormat="false" ht="17.25" hidden="false" customHeight="true" outlineLevel="0" collapsed="false">
      <c r="A108" s="37" t="s">
        <v>121</v>
      </c>
      <c r="B108" s="44" t="s">
        <v>122</v>
      </c>
      <c r="C108" s="61" t="n">
        <v>99</v>
      </c>
      <c r="D108" s="62" t="s">
        <v>123</v>
      </c>
      <c r="E108" s="25" t="s">
        <v>16</v>
      </c>
      <c r="F108" s="63" t="n">
        <v>10.47</v>
      </c>
      <c r="G108" s="63" t="n">
        <v>19.24</v>
      </c>
      <c r="H108" s="63" t="n">
        <v>14.33</v>
      </c>
      <c r="I108" s="64"/>
      <c r="J108" s="65" t="n">
        <f aca="false">SUM(F108:H108)</f>
        <v>44.04</v>
      </c>
      <c r="K108" s="66" t="n">
        <v>11040</v>
      </c>
      <c r="L108" s="67" t="n">
        <v>14</v>
      </c>
      <c r="M108" s="51"/>
    </row>
    <row r="109" customFormat="false" ht="17.25" hidden="false" customHeight="true" outlineLevel="0" collapsed="false">
      <c r="A109" s="37"/>
      <c r="B109" s="44"/>
      <c r="C109" s="68" t="n">
        <v>100</v>
      </c>
      <c r="D109" s="62" t="s">
        <v>124</v>
      </c>
      <c r="E109" s="25" t="s">
        <v>16</v>
      </c>
      <c r="F109" s="63" t="n">
        <v>10.62</v>
      </c>
      <c r="G109" s="63" t="n">
        <v>4.75</v>
      </c>
      <c r="H109" s="63" t="n">
        <v>0</v>
      </c>
      <c r="I109" s="64"/>
      <c r="J109" s="65" t="n">
        <f aca="false">SUM(F109:H109)</f>
        <v>15.37</v>
      </c>
      <c r="K109" s="66" t="n">
        <v>2620</v>
      </c>
      <c r="L109" s="67" t="n">
        <v>18</v>
      </c>
      <c r="M109" s="51"/>
    </row>
    <row r="110" customFormat="false" ht="17.25" hidden="false" customHeight="true" outlineLevel="0" collapsed="false">
      <c r="A110" s="37"/>
      <c r="B110" s="44"/>
      <c r="C110" s="68" t="n">
        <v>101</v>
      </c>
      <c r="D110" s="62" t="s">
        <v>125</v>
      </c>
      <c r="E110" s="25" t="s">
        <v>16</v>
      </c>
      <c r="F110" s="63" t="n">
        <v>0</v>
      </c>
      <c r="G110" s="63" t="n">
        <v>48.7</v>
      </c>
      <c r="H110" s="63" t="n">
        <v>0</v>
      </c>
      <c r="I110" s="64"/>
      <c r="J110" s="65" t="n">
        <f aca="false">SUM(F110:H110)</f>
        <v>48.7</v>
      </c>
      <c r="K110" s="66" t="n">
        <v>27575</v>
      </c>
      <c r="L110" s="67" t="n">
        <v>92</v>
      </c>
      <c r="M110" s="51"/>
    </row>
    <row r="111" customFormat="false" ht="17.25" hidden="false" customHeight="true" outlineLevel="0" collapsed="false">
      <c r="A111" s="37"/>
      <c r="B111" s="44"/>
      <c r="C111" s="68" t="n">
        <v>102</v>
      </c>
      <c r="D111" s="62" t="s">
        <v>126</v>
      </c>
      <c r="E111" s="25" t="s">
        <v>16</v>
      </c>
      <c r="F111" s="63" t="n">
        <v>4.61</v>
      </c>
      <c r="G111" s="63" t="n">
        <v>24.65</v>
      </c>
      <c r="H111" s="63" t="n">
        <v>5.78</v>
      </c>
      <c r="I111" s="64"/>
      <c r="J111" s="65" t="n">
        <f aca="false">SUM(F111:H111)</f>
        <v>35.04</v>
      </c>
      <c r="K111" s="66" t="n">
        <v>13690</v>
      </c>
      <c r="L111" s="67" t="n">
        <v>29</v>
      </c>
      <c r="M111" s="51"/>
    </row>
    <row r="112" customFormat="false" ht="17.25" hidden="false" customHeight="true" outlineLevel="0" collapsed="false">
      <c r="A112" s="37"/>
      <c r="B112" s="44"/>
      <c r="C112" s="69" t="n">
        <v>103</v>
      </c>
      <c r="D112" s="62" t="s">
        <v>127</v>
      </c>
      <c r="E112" s="25" t="s">
        <v>16</v>
      </c>
      <c r="F112" s="63" t="n">
        <v>7.9</v>
      </c>
      <c r="G112" s="63" t="n">
        <v>3.4</v>
      </c>
      <c r="H112" s="63" t="n">
        <v>5.74</v>
      </c>
      <c r="I112" s="64"/>
      <c r="J112" s="65" t="n">
        <f aca="false">SUM(F112:H112)</f>
        <v>17.04</v>
      </c>
      <c r="K112" s="66" t="n">
        <v>1931</v>
      </c>
      <c r="L112" s="67" t="n">
        <v>22</v>
      </c>
      <c r="M112" s="51"/>
    </row>
    <row r="113" customFormat="false" ht="17.25" hidden="false" customHeight="true" outlineLevel="0" collapsed="false">
      <c r="A113" s="29" t="s">
        <v>46</v>
      </c>
      <c r="B113" s="29"/>
      <c r="C113" s="29"/>
      <c r="D113" s="29"/>
      <c r="E113" s="30"/>
      <c r="F113" s="31" t="n">
        <f aca="false">SUM(F108:F112)</f>
        <v>33.6</v>
      </c>
      <c r="G113" s="31" t="n">
        <f aca="false">SUM(G108:G112)</f>
        <v>100.74</v>
      </c>
      <c r="H113" s="31" t="n">
        <v>28</v>
      </c>
      <c r="I113" s="31"/>
      <c r="J113" s="32" t="n">
        <f aca="false">SUM(J108:J112)</f>
        <v>160.19</v>
      </c>
      <c r="K113" s="33" t="n">
        <f aca="false">SUM(K108:K112)</f>
        <v>56856</v>
      </c>
      <c r="L113" s="33" t="n">
        <f aca="false">SUM(L108:L112)</f>
        <v>175</v>
      </c>
      <c r="M113" s="34"/>
    </row>
    <row r="114" customFormat="false" ht="17.25" hidden="false" customHeight="true" outlineLevel="0" collapsed="false">
      <c r="A114" s="37" t="s">
        <v>128</v>
      </c>
      <c r="B114" s="38" t="s">
        <v>129</v>
      </c>
      <c r="C114" s="16" t="n">
        <v>104</v>
      </c>
      <c r="D114" s="70" t="s">
        <v>130</v>
      </c>
      <c r="E114" s="25" t="s">
        <v>16</v>
      </c>
      <c r="F114" s="19" t="n">
        <v>0</v>
      </c>
      <c r="G114" s="19" t="n">
        <v>143.1</v>
      </c>
      <c r="H114" s="19" t="n">
        <v>0</v>
      </c>
      <c r="I114" s="40"/>
      <c r="J114" s="19" t="n">
        <f aca="false">SUM(F114:H114)</f>
        <v>143.1</v>
      </c>
      <c r="K114" s="66" t="n">
        <v>106899</v>
      </c>
      <c r="L114" s="21" t="n">
        <v>190</v>
      </c>
      <c r="M114" s="51"/>
    </row>
    <row r="115" customFormat="false" ht="17.25" hidden="false" customHeight="true" outlineLevel="0" collapsed="false">
      <c r="A115" s="37"/>
      <c r="B115" s="44"/>
      <c r="C115" s="16" t="n">
        <v>105</v>
      </c>
      <c r="D115" s="17" t="s">
        <v>131</v>
      </c>
      <c r="E115" s="25" t="s">
        <v>16</v>
      </c>
      <c r="F115" s="19" t="n">
        <v>0</v>
      </c>
      <c r="G115" s="19" t="n">
        <v>37.77</v>
      </c>
      <c r="H115" s="19" t="n">
        <v>0</v>
      </c>
      <c r="I115" s="40"/>
      <c r="J115" s="19" t="n">
        <f aca="false">SUM(F115:H115)</f>
        <v>37.77</v>
      </c>
      <c r="K115" s="66" t="n">
        <v>28999</v>
      </c>
      <c r="L115" s="21" t="n">
        <v>42</v>
      </c>
      <c r="M115" s="51"/>
    </row>
    <row r="116" customFormat="false" ht="17.25" hidden="false" customHeight="true" outlineLevel="0" collapsed="false">
      <c r="A116" s="37"/>
      <c r="B116" s="44"/>
      <c r="C116" s="16" t="n">
        <v>106</v>
      </c>
      <c r="D116" s="17" t="s">
        <v>132</v>
      </c>
      <c r="E116" s="25" t="s">
        <v>16</v>
      </c>
      <c r="F116" s="19" t="n">
        <v>0</v>
      </c>
      <c r="G116" s="19" t="n">
        <v>99.78</v>
      </c>
      <c r="H116" s="19" t="n">
        <v>0</v>
      </c>
      <c r="I116" s="40"/>
      <c r="J116" s="19" t="n">
        <f aca="false">SUM(F116:H116)</f>
        <v>99.78</v>
      </c>
      <c r="K116" s="66" t="n">
        <v>76659</v>
      </c>
      <c r="L116" s="21" t="n">
        <v>273</v>
      </c>
      <c r="M116" s="51"/>
    </row>
    <row r="117" customFormat="false" ht="17.25" hidden="false" customHeight="true" outlineLevel="0" collapsed="false">
      <c r="A117" s="37"/>
      <c r="B117" s="44"/>
      <c r="C117" s="16" t="n">
        <v>107</v>
      </c>
      <c r="D117" s="17" t="s">
        <v>133</v>
      </c>
      <c r="E117" s="25" t="s">
        <v>16</v>
      </c>
      <c r="F117" s="19" t="n">
        <v>0</v>
      </c>
      <c r="G117" s="19" t="n">
        <v>10.14</v>
      </c>
      <c r="H117" s="19" t="n">
        <v>0</v>
      </c>
      <c r="I117" s="40"/>
      <c r="J117" s="19" t="n">
        <f aca="false">SUM(F117:H117)</f>
        <v>10.14</v>
      </c>
      <c r="K117" s="66" t="n">
        <v>7684</v>
      </c>
      <c r="L117" s="21" t="n">
        <v>8</v>
      </c>
      <c r="M117" s="51"/>
    </row>
    <row r="118" customFormat="false" ht="17.25" hidden="false" customHeight="true" outlineLevel="0" collapsed="false">
      <c r="A118" s="37"/>
      <c r="B118" s="44"/>
      <c r="C118" s="16" t="n">
        <v>108</v>
      </c>
      <c r="D118" s="17" t="s">
        <v>134</v>
      </c>
      <c r="E118" s="25" t="s">
        <v>16</v>
      </c>
      <c r="F118" s="19" t="n">
        <v>9.5</v>
      </c>
      <c r="G118" s="19" t="n">
        <v>118.81</v>
      </c>
      <c r="H118" s="19" t="n">
        <v>5.3</v>
      </c>
      <c r="I118" s="40"/>
      <c r="J118" s="19" t="n">
        <f aca="false">SUM(F118:H118)</f>
        <v>133.61</v>
      </c>
      <c r="K118" s="66" t="n">
        <v>90706</v>
      </c>
      <c r="L118" s="21" t="n">
        <v>243</v>
      </c>
      <c r="M118" s="51"/>
    </row>
    <row r="119" customFormat="false" ht="17.25" hidden="false" customHeight="true" outlineLevel="0" collapsed="false">
      <c r="A119" s="37"/>
      <c r="B119" s="44"/>
      <c r="C119" s="16" t="n">
        <v>109</v>
      </c>
      <c r="D119" s="17" t="s">
        <v>135</v>
      </c>
      <c r="E119" s="25" t="s">
        <v>16</v>
      </c>
      <c r="F119" s="19" t="n">
        <v>0</v>
      </c>
      <c r="G119" s="19" t="n">
        <v>155.96</v>
      </c>
      <c r="H119" s="19" t="n">
        <v>0</v>
      </c>
      <c r="I119" s="40"/>
      <c r="J119" s="19" t="n">
        <f aca="false">SUM(F119:H119)</f>
        <v>155.96</v>
      </c>
      <c r="K119" s="66" t="n">
        <v>119051</v>
      </c>
      <c r="L119" s="21" t="n">
        <v>201</v>
      </c>
      <c r="M119" s="51"/>
    </row>
    <row r="120" customFormat="false" ht="17.25" hidden="false" customHeight="true" outlineLevel="0" collapsed="false">
      <c r="A120" s="37"/>
      <c r="B120" s="44"/>
      <c r="C120" s="16" t="n">
        <v>110</v>
      </c>
      <c r="D120" s="17" t="s">
        <v>136</v>
      </c>
      <c r="E120" s="25" t="s">
        <v>16</v>
      </c>
      <c r="F120" s="19" t="n">
        <v>0</v>
      </c>
      <c r="G120" s="19" t="n">
        <v>33.77</v>
      </c>
      <c r="H120" s="19" t="n">
        <v>0</v>
      </c>
      <c r="I120" s="40"/>
      <c r="J120" s="19" t="n">
        <f aca="false">SUM(F120:H120)</f>
        <v>33.77</v>
      </c>
      <c r="K120" s="66" t="n">
        <v>25688</v>
      </c>
      <c r="L120" s="21" t="n">
        <v>178</v>
      </c>
      <c r="M120" s="51"/>
    </row>
    <row r="121" customFormat="false" ht="17.25" hidden="false" customHeight="true" outlineLevel="0" collapsed="false">
      <c r="A121" s="37"/>
      <c r="B121" s="44"/>
      <c r="C121" s="16" t="n">
        <v>111</v>
      </c>
      <c r="D121" s="17" t="s">
        <v>137</v>
      </c>
      <c r="E121" s="25" t="s">
        <v>16</v>
      </c>
      <c r="F121" s="19" t="n">
        <v>0</v>
      </c>
      <c r="G121" s="19" t="n">
        <v>21.15</v>
      </c>
      <c r="H121" s="19" t="n">
        <v>0</v>
      </c>
      <c r="I121" s="40"/>
      <c r="J121" s="19" t="n">
        <f aca="false">SUM(F121:H121)</f>
        <v>21.15</v>
      </c>
      <c r="K121" s="66" t="n">
        <v>15827</v>
      </c>
      <c r="L121" s="21" t="n">
        <v>43</v>
      </c>
      <c r="M121" s="51"/>
    </row>
    <row r="122" customFormat="false" ht="17.25" hidden="false" customHeight="true" outlineLevel="0" collapsed="false">
      <c r="A122" s="37"/>
      <c r="B122" s="44"/>
      <c r="C122" s="16" t="n">
        <v>112</v>
      </c>
      <c r="D122" s="17" t="s">
        <v>138</v>
      </c>
      <c r="E122" s="25" t="s">
        <v>16</v>
      </c>
      <c r="F122" s="19" t="n">
        <v>0</v>
      </c>
      <c r="G122" s="19" t="n">
        <v>32.01</v>
      </c>
      <c r="H122" s="19" t="n">
        <v>0</v>
      </c>
      <c r="I122" s="40"/>
      <c r="J122" s="19" t="n">
        <f aca="false">SUM(F122:H122)</f>
        <v>32.01</v>
      </c>
      <c r="K122" s="66" t="n">
        <v>23709</v>
      </c>
      <c r="L122" s="21" t="n">
        <v>78</v>
      </c>
      <c r="M122" s="51"/>
    </row>
    <row r="123" customFormat="false" ht="17.25" hidden="false" customHeight="true" outlineLevel="0" collapsed="false">
      <c r="A123" s="37"/>
      <c r="B123" s="44"/>
      <c r="C123" s="16" t="n">
        <v>113</v>
      </c>
      <c r="D123" s="17" t="s">
        <v>139</v>
      </c>
      <c r="E123" s="25" t="s">
        <v>16</v>
      </c>
      <c r="F123" s="19" t="n">
        <v>6.66</v>
      </c>
      <c r="G123" s="19" t="n">
        <v>30.72</v>
      </c>
      <c r="H123" s="19" t="n">
        <v>48.1</v>
      </c>
      <c r="I123" s="40"/>
      <c r="J123" s="19" t="n">
        <f aca="false">SUM(F123:H123)</f>
        <v>85.48</v>
      </c>
      <c r="K123" s="66" t="n">
        <v>22761</v>
      </c>
      <c r="L123" s="21" t="n">
        <v>168</v>
      </c>
      <c r="M123" s="51"/>
    </row>
    <row r="124" customFormat="false" ht="17.25" hidden="false" customHeight="true" outlineLevel="0" collapsed="false">
      <c r="A124" s="37"/>
      <c r="B124" s="44"/>
      <c r="C124" s="16" t="n">
        <v>114</v>
      </c>
      <c r="D124" s="17" t="s">
        <v>140</v>
      </c>
      <c r="E124" s="25" t="s">
        <v>16</v>
      </c>
      <c r="F124" s="19" t="n">
        <v>5.82</v>
      </c>
      <c r="G124" s="19" t="n">
        <v>80.3</v>
      </c>
      <c r="H124" s="19" t="n">
        <v>4.01</v>
      </c>
      <c r="I124" s="40"/>
      <c r="J124" s="19" t="n">
        <f aca="false">SUM(F124:H124)</f>
        <v>90.13</v>
      </c>
      <c r="K124" s="66" t="n">
        <v>59085</v>
      </c>
      <c r="L124" s="21" t="n">
        <v>207</v>
      </c>
      <c r="M124" s="51"/>
    </row>
    <row r="125" customFormat="false" ht="17.25" hidden="false" customHeight="true" outlineLevel="0" collapsed="false">
      <c r="A125" s="37"/>
      <c r="B125" s="44"/>
      <c r="C125" s="16" t="n">
        <v>115</v>
      </c>
      <c r="D125" s="17" t="s">
        <v>141</v>
      </c>
      <c r="E125" s="25" t="s">
        <v>16</v>
      </c>
      <c r="F125" s="19" t="n">
        <v>0</v>
      </c>
      <c r="G125" s="19" t="n">
        <v>137.84</v>
      </c>
      <c r="H125" s="19" t="n">
        <v>0</v>
      </c>
      <c r="I125" s="40"/>
      <c r="J125" s="19" t="n">
        <f aca="false">SUM(F125:H125)</f>
        <v>137.84</v>
      </c>
      <c r="K125" s="66" t="n">
        <v>103766</v>
      </c>
      <c r="L125" s="21" t="n">
        <v>200</v>
      </c>
      <c r="M125" s="51"/>
    </row>
    <row r="126" customFormat="false" ht="17.25" hidden="false" customHeight="true" outlineLevel="0" collapsed="false">
      <c r="A126" s="37"/>
      <c r="B126" s="44"/>
      <c r="C126" s="16" t="n">
        <v>116</v>
      </c>
      <c r="D126" s="17" t="s">
        <v>142</v>
      </c>
      <c r="E126" s="25" t="s">
        <v>16</v>
      </c>
      <c r="F126" s="19" t="n">
        <v>0</v>
      </c>
      <c r="G126" s="19" t="n">
        <v>39.29</v>
      </c>
      <c r="H126" s="19" t="n">
        <v>0</v>
      </c>
      <c r="I126" s="40"/>
      <c r="J126" s="19" t="n">
        <f aca="false">SUM(F126:H126)</f>
        <v>39.29</v>
      </c>
      <c r="K126" s="66" t="n">
        <v>30145</v>
      </c>
      <c r="L126" s="21" t="n">
        <v>70</v>
      </c>
      <c r="M126" s="51"/>
    </row>
    <row r="127" customFormat="false" ht="17.25" hidden="false" customHeight="true" outlineLevel="0" collapsed="false">
      <c r="A127" s="37"/>
      <c r="B127" s="44"/>
      <c r="C127" s="16" t="n">
        <v>117</v>
      </c>
      <c r="D127" s="17" t="s">
        <v>143</v>
      </c>
      <c r="E127" s="25" t="s">
        <v>16</v>
      </c>
      <c r="F127" s="19" t="n">
        <v>0</v>
      </c>
      <c r="G127" s="71" t="n">
        <v>198.26</v>
      </c>
      <c r="H127" s="19" t="n">
        <v>0</v>
      </c>
      <c r="I127" s="40"/>
      <c r="J127" s="19" t="n">
        <f aca="false">SUM(F127:H127)</f>
        <v>198.26</v>
      </c>
      <c r="K127" s="66" t="n">
        <v>148079</v>
      </c>
      <c r="L127" s="21" t="n">
        <v>223</v>
      </c>
      <c r="M127" s="51"/>
    </row>
    <row r="128" customFormat="false" ht="17.25" hidden="false" customHeight="true" outlineLevel="0" collapsed="false">
      <c r="A128" s="37"/>
      <c r="B128" s="44"/>
      <c r="C128" s="72" t="n">
        <v>118</v>
      </c>
      <c r="D128" s="59" t="s">
        <v>144</v>
      </c>
      <c r="E128" s="25" t="s">
        <v>16</v>
      </c>
      <c r="F128" s="27" t="n">
        <v>2.26</v>
      </c>
      <c r="G128" s="73" t="n">
        <v>15.74</v>
      </c>
      <c r="H128" s="27" t="n">
        <v>2.57</v>
      </c>
      <c r="I128" s="74"/>
      <c r="J128" s="27" t="n">
        <f aca="false">SUM(F128:H128)</f>
        <v>20.57</v>
      </c>
      <c r="K128" s="75" t="n">
        <v>11634</v>
      </c>
      <c r="L128" s="21" t="n">
        <v>83</v>
      </c>
      <c r="M128" s="51"/>
    </row>
    <row r="129" customFormat="false" ht="17.25" hidden="false" customHeight="true" outlineLevel="0" collapsed="false">
      <c r="A129" s="37"/>
      <c r="B129" s="44"/>
      <c r="C129" s="72" t="n">
        <v>119</v>
      </c>
      <c r="D129" s="59" t="s">
        <v>145</v>
      </c>
      <c r="E129" s="25" t="s">
        <v>16</v>
      </c>
      <c r="F129" s="27" t="n">
        <v>0</v>
      </c>
      <c r="G129" s="73" t="n">
        <v>4604.57</v>
      </c>
      <c r="H129" s="27" t="n">
        <v>0</v>
      </c>
      <c r="I129" s="74"/>
      <c r="J129" s="27" t="n">
        <f aca="false">SUM(F129:H129)</f>
        <v>4604.57</v>
      </c>
      <c r="K129" s="75" t="n">
        <v>3513987</v>
      </c>
      <c r="L129" s="21" t="n">
        <v>370</v>
      </c>
      <c r="M129" s="51"/>
    </row>
    <row r="130" customFormat="false" ht="17.25" hidden="false" customHeight="true" outlineLevel="0" collapsed="false">
      <c r="A130" s="37"/>
      <c r="B130" s="44"/>
      <c r="C130" s="72" t="n">
        <v>120</v>
      </c>
      <c r="D130" s="59" t="s">
        <v>146</v>
      </c>
      <c r="E130" s="25" t="s">
        <v>16</v>
      </c>
      <c r="F130" s="27" t="n">
        <v>0</v>
      </c>
      <c r="G130" s="73" t="n">
        <v>18.63</v>
      </c>
      <c r="H130" s="27" t="n">
        <v>0</v>
      </c>
      <c r="I130" s="74"/>
      <c r="J130" s="27" t="n">
        <f aca="false">SUM(F130:H130)</f>
        <v>18.63</v>
      </c>
      <c r="K130" s="75" t="n">
        <v>14314</v>
      </c>
      <c r="L130" s="21" t="n">
        <v>128</v>
      </c>
      <c r="M130" s="51"/>
    </row>
    <row r="131" customFormat="false" ht="17.25" hidden="false" customHeight="true" outlineLevel="0" collapsed="false">
      <c r="A131" s="37"/>
      <c r="B131" s="44"/>
      <c r="C131" s="72" t="n">
        <v>121</v>
      </c>
      <c r="D131" s="59" t="s">
        <v>147</v>
      </c>
      <c r="E131" s="25" t="s">
        <v>16</v>
      </c>
      <c r="F131" s="27" t="n">
        <v>6.99</v>
      </c>
      <c r="G131" s="73" t="n">
        <v>190.17</v>
      </c>
      <c r="H131" s="27" t="n">
        <v>3.91</v>
      </c>
      <c r="I131" s="74"/>
      <c r="J131" s="27" t="n">
        <f aca="false">SUM(F131:H131)</f>
        <v>201.07</v>
      </c>
      <c r="K131" s="75" t="n">
        <v>144605</v>
      </c>
      <c r="L131" s="21" t="n">
        <v>241</v>
      </c>
      <c r="M131" s="51"/>
    </row>
    <row r="132" customFormat="false" ht="17.25" hidden="false" customHeight="true" outlineLevel="0" collapsed="false">
      <c r="A132" s="37"/>
      <c r="B132" s="44"/>
      <c r="C132" s="16" t="n">
        <v>122</v>
      </c>
      <c r="D132" s="17" t="s">
        <v>148</v>
      </c>
      <c r="E132" s="25" t="s">
        <v>16</v>
      </c>
      <c r="F132" s="19" t="n">
        <v>0</v>
      </c>
      <c r="G132" s="71" t="n">
        <v>26.45</v>
      </c>
      <c r="H132" s="19" t="n">
        <v>0</v>
      </c>
      <c r="I132" s="40"/>
      <c r="J132" s="19" t="n">
        <f aca="false">SUM(F132:H132)</f>
        <v>26.45</v>
      </c>
      <c r="K132" s="66" t="n">
        <v>19879</v>
      </c>
      <c r="L132" s="21" t="n">
        <v>37</v>
      </c>
      <c r="M132" s="51"/>
    </row>
    <row r="133" customFormat="false" ht="17.25" hidden="false" customHeight="true" outlineLevel="0" collapsed="false">
      <c r="A133" s="37"/>
      <c r="B133" s="44"/>
      <c r="C133" s="16" t="n">
        <v>123</v>
      </c>
      <c r="D133" s="17" t="s">
        <v>149</v>
      </c>
      <c r="E133" s="25" t="s">
        <v>16</v>
      </c>
      <c r="F133" s="19" t="n">
        <v>0</v>
      </c>
      <c r="G133" s="71" t="n">
        <v>58</v>
      </c>
      <c r="H133" s="19" t="n">
        <v>0</v>
      </c>
      <c r="I133" s="40"/>
      <c r="J133" s="19" t="n">
        <f aca="false">SUM(F133:H133)</f>
        <v>58</v>
      </c>
      <c r="K133" s="66" t="n">
        <v>43671</v>
      </c>
      <c r="L133" s="21" t="n">
        <v>152</v>
      </c>
      <c r="M133" s="51"/>
    </row>
    <row r="134" customFormat="false" ht="17.25" hidden="false" customHeight="true" outlineLevel="0" collapsed="false">
      <c r="A134" s="37"/>
      <c r="B134" s="44"/>
      <c r="C134" s="16" t="n">
        <v>124</v>
      </c>
      <c r="D134" s="17" t="s">
        <v>150</v>
      </c>
      <c r="E134" s="25" t="s">
        <v>16</v>
      </c>
      <c r="F134" s="19" t="n">
        <v>0</v>
      </c>
      <c r="G134" s="71" t="n">
        <v>93.4</v>
      </c>
      <c r="H134" s="19" t="n">
        <v>0</v>
      </c>
      <c r="I134" s="40"/>
      <c r="J134" s="19" t="n">
        <f aca="false">SUM(F134:H134)</f>
        <v>93.4</v>
      </c>
      <c r="K134" s="66" t="n">
        <v>69380</v>
      </c>
      <c r="L134" s="21" t="n">
        <v>151</v>
      </c>
      <c r="M134" s="51"/>
    </row>
    <row r="135" customFormat="false" ht="17.25" hidden="false" customHeight="true" outlineLevel="0" collapsed="false">
      <c r="A135" s="37"/>
      <c r="B135" s="44"/>
      <c r="C135" s="16" t="n">
        <v>125</v>
      </c>
      <c r="D135" s="17" t="s">
        <v>151</v>
      </c>
      <c r="E135" s="25" t="s">
        <v>16</v>
      </c>
      <c r="F135" s="19" t="n">
        <v>0</v>
      </c>
      <c r="G135" s="71" t="n">
        <v>69.69</v>
      </c>
      <c r="H135" s="19" t="n">
        <v>0</v>
      </c>
      <c r="I135" s="40"/>
      <c r="J135" s="19" t="n">
        <f aca="false">SUM(F135:H135)</f>
        <v>69.69</v>
      </c>
      <c r="K135" s="66" t="n">
        <v>53634</v>
      </c>
      <c r="L135" s="21" t="n">
        <v>101</v>
      </c>
      <c r="M135" s="51"/>
    </row>
    <row r="136" customFormat="false" ht="17.25" hidden="false" customHeight="true" outlineLevel="0" collapsed="false">
      <c r="A136" s="37"/>
      <c r="B136" s="44"/>
      <c r="C136" s="16" t="n">
        <v>126</v>
      </c>
      <c r="D136" s="17" t="s">
        <v>152</v>
      </c>
      <c r="E136" s="25" t="s">
        <v>16</v>
      </c>
      <c r="F136" s="19" t="n">
        <v>0</v>
      </c>
      <c r="G136" s="71" t="n">
        <v>63.97</v>
      </c>
      <c r="H136" s="19" t="n">
        <v>0</v>
      </c>
      <c r="I136" s="40"/>
      <c r="J136" s="19" t="n">
        <f aca="false">SUM(F136:H136)</f>
        <v>63.97</v>
      </c>
      <c r="K136" s="66" t="n">
        <v>47302</v>
      </c>
      <c r="L136" s="21" t="n">
        <v>228</v>
      </c>
      <c r="M136" s="51"/>
    </row>
    <row r="137" customFormat="false" ht="17.25" hidden="false" customHeight="true" outlineLevel="0" collapsed="false">
      <c r="A137" s="37"/>
      <c r="B137" s="44"/>
      <c r="C137" s="16" t="n">
        <v>127</v>
      </c>
      <c r="D137" s="59" t="s">
        <v>153</v>
      </c>
      <c r="E137" s="25" t="s">
        <v>16</v>
      </c>
      <c r="F137" s="27" t="n">
        <v>71.04</v>
      </c>
      <c r="G137" s="73" t="n">
        <v>774</v>
      </c>
      <c r="H137" s="27" t="n">
        <v>65.49</v>
      </c>
      <c r="I137" s="74"/>
      <c r="J137" s="27" t="n">
        <f aca="false">SUM(F137:H137)</f>
        <v>910.53</v>
      </c>
      <c r="K137" s="75" t="n">
        <v>571657</v>
      </c>
      <c r="L137" s="21" t="n">
        <v>188</v>
      </c>
      <c r="M137" s="51"/>
    </row>
    <row r="138" customFormat="false" ht="17.25" hidden="false" customHeight="true" outlineLevel="0" collapsed="false">
      <c r="A138" s="37"/>
      <c r="B138" s="44"/>
      <c r="C138" s="16" t="n">
        <v>128</v>
      </c>
      <c r="D138" s="17" t="s">
        <v>154</v>
      </c>
      <c r="E138" s="25" t="s">
        <v>16</v>
      </c>
      <c r="F138" s="19" t="n">
        <v>0</v>
      </c>
      <c r="G138" s="71" t="n">
        <v>105.49</v>
      </c>
      <c r="H138" s="19" t="n">
        <v>0</v>
      </c>
      <c r="I138" s="40"/>
      <c r="J138" s="19" t="n">
        <f aca="false">SUM(F138:H138)</f>
        <v>105.49</v>
      </c>
      <c r="K138" s="66" t="n">
        <v>80839</v>
      </c>
      <c r="L138" s="21" t="n">
        <v>204</v>
      </c>
      <c r="M138" s="51"/>
    </row>
    <row r="139" customFormat="false" ht="17.25" hidden="false" customHeight="true" outlineLevel="0" collapsed="false">
      <c r="A139" s="37"/>
      <c r="B139" s="44"/>
      <c r="C139" s="16" t="n">
        <v>129</v>
      </c>
      <c r="D139" s="17" t="s">
        <v>155</v>
      </c>
      <c r="E139" s="25" t="s">
        <v>16</v>
      </c>
      <c r="F139" s="19" t="n">
        <v>0</v>
      </c>
      <c r="G139" s="71" t="n">
        <v>97.39</v>
      </c>
      <c r="H139" s="19" t="n">
        <v>0</v>
      </c>
      <c r="I139" s="40"/>
      <c r="J139" s="19" t="n">
        <f aca="false">SUM(F139:H139)</f>
        <v>97.39</v>
      </c>
      <c r="K139" s="66" t="n">
        <v>75017</v>
      </c>
      <c r="L139" s="21" t="n">
        <v>154</v>
      </c>
      <c r="M139" s="51"/>
    </row>
    <row r="140" customFormat="false" ht="17.25" hidden="false" customHeight="true" outlineLevel="0" collapsed="false">
      <c r="A140" s="37"/>
      <c r="B140" s="44"/>
      <c r="C140" s="16" t="n">
        <v>130</v>
      </c>
      <c r="D140" s="17" t="s">
        <v>156</v>
      </c>
      <c r="E140" s="25" t="s">
        <v>16</v>
      </c>
      <c r="F140" s="19" t="n">
        <v>0</v>
      </c>
      <c r="G140" s="71" t="n">
        <v>319.07</v>
      </c>
      <c r="H140" s="19" t="n">
        <v>0</v>
      </c>
      <c r="I140" s="40"/>
      <c r="J140" s="19" t="n">
        <f aca="false">SUM(F140:H140)</f>
        <v>319.07</v>
      </c>
      <c r="K140" s="66" t="n">
        <v>245292</v>
      </c>
      <c r="L140" s="21" t="n">
        <v>126</v>
      </c>
      <c r="M140" s="51"/>
    </row>
    <row r="141" customFormat="false" ht="17.25" hidden="false" customHeight="true" outlineLevel="0" collapsed="false">
      <c r="A141" s="37"/>
      <c r="B141" s="44"/>
      <c r="C141" s="16" t="n">
        <v>131</v>
      </c>
      <c r="D141" s="17" t="s">
        <v>157</v>
      </c>
      <c r="E141" s="25" t="s">
        <v>16</v>
      </c>
      <c r="F141" s="19" t="n">
        <v>13.83</v>
      </c>
      <c r="G141" s="71" t="n">
        <v>54.79</v>
      </c>
      <c r="H141" s="19" t="n">
        <v>15.5</v>
      </c>
      <c r="I141" s="40"/>
      <c r="J141" s="19" t="n">
        <f aca="false">SUM(F141:H141)</f>
        <v>84.12</v>
      </c>
      <c r="K141" s="66" t="n">
        <v>41341</v>
      </c>
      <c r="L141" s="21" t="n">
        <v>59</v>
      </c>
      <c r="M141" s="51"/>
    </row>
    <row r="142" customFormat="false" ht="17.25" hidden="false" customHeight="true" outlineLevel="0" collapsed="false">
      <c r="A142" s="37"/>
      <c r="B142" s="44"/>
      <c r="C142" s="16" t="n">
        <v>132</v>
      </c>
      <c r="D142" s="17" t="s">
        <v>158</v>
      </c>
      <c r="E142" s="25" t="s">
        <v>16</v>
      </c>
      <c r="F142" s="19" t="n">
        <v>1.08</v>
      </c>
      <c r="G142" s="71" t="n">
        <v>80.45</v>
      </c>
      <c r="H142" s="19" t="n">
        <v>0</v>
      </c>
      <c r="I142" s="40"/>
      <c r="J142" s="19" t="n">
        <f aca="false">SUM(F142:H142)</f>
        <v>81.53</v>
      </c>
      <c r="K142" s="66" t="n">
        <v>60301</v>
      </c>
      <c r="L142" s="21" t="n">
        <v>126</v>
      </c>
      <c r="M142" s="51"/>
    </row>
    <row r="143" customFormat="false" ht="17.25" hidden="false" customHeight="true" outlineLevel="0" collapsed="false">
      <c r="A143" s="37"/>
      <c r="B143" s="44"/>
      <c r="C143" s="16" t="n">
        <v>133</v>
      </c>
      <c r="D143" s="17" t="s">
        <v>159</v>
      </c>
      <c r="E143" s="25" t="s">
        <v>16</v>
      </c>
      <c r="F143" s="19" t="n">
        <v>0</v>
      </c>
      <c r="G143" s="71" t="n">
        <v>52.79</v>
      </c>
      <c r="H143" s="19" t="n">
        <v>0</v>
      </c>
      <c r="I143" s="40"/>
      <c r="J143" s="19" t="n">
        <f aca="false">SUM(F143:H143)</f>
        <v>52.79</v>
      </c>
      <c r="K143" s="66" t="n">
        <v>39182</v>
      </c>
      <c r="L143" s="21" t="n">
        <v>84</v>
      </c>
      <c r="M143" s="51"/>
    </row>
    <row r="144" customFormat="false" ht="17.25" hidden="false" customHeight="true" outlineLevel="0" collapsed="false">
      <c r="A144" s="37"/>
      <c r="B144" s="44"/>
      <c r="C144" s="16" t="n">
        <v>134</v>
      </c>
      <c r="D144" s="17" t="s">
        <v>160</v>
      </c>
      <c r="E144" s="25" t="s">
        <v>16</v>
      </c>
      <c r="F144" s="19" t="n">
        <v>0</v>
      </c>
      <c r="G144" s="71" t="n">
        <v>42.54</v>
      </c>
      <c r="H144" s="19" t="n">
        <v>0</v>
      </c>
      <c r="I144" s="40"/>
      <c r="J144" s="19" t="n">
        <f aca="false">SUM(F144:H144)</f>
        <v>42.54</v>
      </c>
      <c r="K144" s="66" t="n">
        <v>32105</v>
      </c>
      <c r="L144" s="21" t="n">
        <v>106</v>
      </c>
      <c r="M144" s="51"/>
    </row>
    <row r="145" customFormat="false" ht="17.25" hidden="false" customHeight="true" outlineLevel="0" collapsed="false">
      <c r="A145" s="37"/>
      <c r="B145" s="44"/>
      <c r="C145" s="16" t="n">
        <v>135</v>
      </c>
      <c r="D145" s="17" t="s">
        <v>161</v>
      </c>
      <c r="E145" s="25" t="s">
        <v>16</v>
      </c>
      <c r="F145" s="19" t="n">
        <v>0</v>
      </c>
      <c r="G145" s="71" t="n">
        <v>71.69</v>
      </c>
      <c r="H145" s="19" t="n">
        <v>0</v>
      </c>
      <c r="I145" s="40"/>
      <c r="J145" s="19" t="n">
        <f aca="false">SUM(F145:H145)</f>
        <v>71.69</v>
      </c>
      <c r="K145" s="66" t="n">
        <v>53153</v>
      </c>
      <c r="L145" s="21" t="n">
        <v>207</v>
      </c>
      <c r="M145" s="51"/>
    </row>
    <row r="146" customFormat="false" ht="17.25" hidden="false" customHeight="true" outlineLevel="0" collapsed="false">
      <c r="A146" s="37"/>
      <c r="B146" s="44"/>
      <c r="C146" s="16" t="n">
        <v>136</v>
      </c>
      <c r="D146" s="17" t="s">
        <v>162</v>
      </c>
      <c r="E146" s="25" t="s">
        <v>16</v>
      </c>
      <c r="F146" s="19" t="n">
        <v>0</v>
      </c>
      <c r="G146" s="71" t="n">
        <v>31.59</v>
      </c>
      <c r="H146" s="19" t="n">
        <v>0</v>
      </c>
      <c r="I146" s="40"/>
      <c r="J146" s="19" t="n">
        <f aca="false">SUM(F146:H146)</f>
        <v>31.59</v>
      </c>
      <c r="K146" s="66" t="n">
        <v>23672</v>
      </c>
      <c r="L146" s="21" t="n">
        <v>67</v>
      </c>
      <c r="M146" s="51"/>
    </row>
    <row r="147" customFormat="false" ht="17.25" hidden="false" customHeight="true" outlineLevel="0" collapsed="false">
      <c r="A147" s="37"/>
      <c r="B147" s="44"/>
      <c r="C147" s="16" t="n">
        <v>137</v>
      </c>
      <c r="D147" s="17" t="s">
        <v>163</v>
      </c>
      <c r="E147" s="25" t="s">
        <v>16</v>
      </c>
      <c r="F147" s="19" t="n">
        <v>0</v>
      </c>
      <c r="G147" s="71" t="n">
        <v>23.62</v>
      </c>
      <c r="H147" s="19" t="n">
        <v>0</v>
      </c>
      <c r="I147" s="40"/>
      <c r="J147" s="19" t="n">
        <f aca="false">SUM(F147:H147)</f>
        <v>23.62</v>
      </c>
      <c r="K147" s="66" t="n">
        <v>17749</v>
      </c>
      <c r="L147" s="21" t="n">
        <v>30</v>
      </c>
      <c r="M147" s="51"/>
    </row>
    <row r="148" customFormat="false" ht="17.25" hidden="false" customHeight="true" outlineLevel="0" collapsed="false">
      <c r="A148" s="37"/>
      <c r="B148" s="44"/>
      <c r="C148" s="16" t="n">
        <v>138</v>
      </c>
      <c r="D148" s="17" t="s">
        <v>164</v>
      </c>
      <c r="E148" s="25" t="s">
        <v>16</v>
      </c>
      <c r="F148" s="19" t="n">
        <v>1.57</v>
      </c>
      <c r="G148" s="71" t="n">
        <v>12.63</v>
      </c>
      <c r="H148" s="19" t="n">
        <v>2.94</v>
      </c>
      <c r="I148" s="40"/>
      <c r="J148" s="19" t="n">
        <f aca="false">SUM(F148:H148)</f>
        <v>17.14</v>
      </c>
      <c r="K148" s="66" t="n">
        <v>9568</v>
      </c>
      <c r="L148" s="21" t="n">
        <v>21</v>
      </c>
      <c r="M148" s="51"/>
    </row>
    <row r="149" customFormat="false" ht="17.25" hidden="false" customHeight="true" outlineLevel="0" collapsed="false">
      <c r="A149" s="37"/>
      <c r="B149" s="44"/>
      <c r="C149" s="16" t="n">
        <v>139</v>
      </c>
      <c r="D149" s="17" t="s">
        <v>165</v>
      </c>
      <c r="E149" s="25" t="s">
        <v>16</v>
      </c>
      <c r="F149" s="19" t="n">
        <v>0</v>
      </c>
      <c r="G149" s="71" t="n">
        <v>112.63</v>
      </c>
      <c r="H149" s="19" t="n">
        <v>0</v>
      </c>
      <c r="I149" s="40"/>
      <c r="J149" s="19" t="n">
        <f aca="false">SUM(F149:H149)</f>
        <v>112.63</v>
      </c>
      <c r="K149" s="66" t="n">
        <v>83027</v>
      </c>
      <c r="L149" s="21" t="n">
        <v>240</v>
      </c>
      <c r="M149" s="51"/>
    </row>
    <row r="150" customFormat="false" ht="17.25" hidden="false" customHeight="true" outlineLevel="0" collapsed="false">
      <c r="A150" s="37"/>
      <c r="B150" s="44"/>
      <c r="C150" s="16" t="n">
        <v>140</v>
      </c>
      <c r="D150" s="17" t="s">
        <v>166</v>
      </c>
      <c r="E150" s="25" t="s">
        <v>16</v>
      </c>
      <c r="F150" s="19" t="n">
        <v>0</v>
      </c>
      <c r="G150" s="71" t="n">
        <v>3.3</v>
      </c>
      <c r="H150" s="19" t="n">
        <v>0</v>
      </c>
      <c r="I150" s="40"/>
      <c r="J150" s="19" t="n">
        <f aca="false">SUM(F150:H150)</f>
        <v>3.3</v>
      </c>
      <c r="K150" s="66" t="n">
        <v>2535</v>
      </c>
      <c r="L150" s="21" t="n">
        <v>9</v>
      </c>
      <c r="M150" s="51"/>
    </row>
    <row r="151" customFormat="false" ht="17.25" hidden="false" customHeight="true" outlineLevel="0" collapsed="false">
      <c r="A151" s="37"/>
      <c r="B151" s="44"/>
      <c r="C151" s="16" t="n">
        <v>141</v>
      </c>
      <c r="D151" s="17" t="s">
        <v>167</v>
      </c>
      <c r="E151" s="25" t="s">
        <v>16</v>
      </c>
      <c r="F151" s="19" t="n">
        <v>0</v>
      </c>
      <c r="G151" s="71" t="n">
        <v>0</v>
      </c>
      <c r="H151" s="19" t="n">
        <v>0</v>
      </c>
      <c r="I151" s="40"/>
      <c r="J151" s="19" t="n">
        <f aca="false">SUM(F151:H151)</f>
        <v>0</v>
      </c>
      <c r="K151" s="66" t="n">
        <v>0</v>
      </c>
      <c r="L151" s="21"/>
      <c r="M151" s="51"/>
    </row>
    <row r="152" customFormat="false" ht="17.25" hidden="false" customHeight="true" outlineLevel="0" collapsed="false">
      <c r="A152" s="37"/>
      <c r="B152" s="44"/>
      <c r="C152" s="16" t="n">
        <v>142</v>
      </c>
      <c r="D152" s="17" t="s">
        <v>168</v>
      </c>
      <c r="E152" s="25" t="s">
        <v>16</v>
      </c>
      <c r="F152" s="19" t="n">
        <v>0</v>
      </c>
      <c r="G152" s="71" t="n">
        <v>118.35</v>
      </c>
      <c r="H152" s="19" t="n">
        <v>0</v>
      </c>
      <c r="I152" s="40"/>
      <c r="J152" s="19" t="n">
        <f aca="false">SUM(F152:H152)</f>
        <v>118.35</v>
      </c>
      <c r="K152" s="66" t="n">
        <v>88700</v>
      </c>
      <c r="L152" s="21" t="n">
        <v>213</v>
      </c>
      <c r="M152" s="51"/>
    </row>
    <row r="153" customFormat="false" ht="17.25" hidden="false" customHeight="true" outlineLevel="0" collapsed="false">
      <c r="A153" s="37"/>
      <c r="B153" s="44"/>
      <c r="C153" s="16" t="n">
        <v>143</v>
      </c>
      <c r="D153" s="17" t="s">
        <v>169</v>
      </c>
      <c r="E153" s="25" t="s">
        <v>16</v>
      </c>
      <c r="F153" s="19" t="n">
        <v>0</v>
      </c>
      <c r="G153" s="71" t="n">
        <v>30.82</v>
      </c>
      <c r="H153" s="19" t="n">
        <v>0</v>
      </c>
      <c r="I153" s="40"/>
      <c r="J153" s="19" t="n">
        <f aca="false">SUM(F153:H153)</f>
        <v>30.82</v>
      </c>
      <c r="K153" s="66" t="n">
        <v>22902</v>
      </c>
      <c r="L153" s="21" t="n">
        <v>66</v>
      </c>
      <c r="M153" s="51"/>
    </row>
    <row r="154" customFormat="false" ht="17.25" hidden="false" customHeight="true" outlineLevel="0" collapsed="false">
      <c r="A154" s="29" t="s">
        <v>46</v>
      </c>
      <c r="B154" s="29"/>
      <c r="C154" s="29"/>
      <c r="D154" s="29"/>
      <c r="E154" s="30"/>
      <c r="F154" s="31" t="n">
        <f aca="false">SUM(F114:F153)</f>
        <v>118.75</v>
      </c>
      <c r="G154" s="31" t="n">
        <f aca="false">SUM(G114:G153)</f>
        <v>8210.67</v>
      </c>
      <c r="H154" s="31" t="n">
        <f aca="false">SUM(H114:H153)</f>
        <v>147.82</v>
      </c>
      <c r="I154" s="31"/>
      <c r="J154" s="32" t="n">
        <f aca="false">SUM(J114:J153)</f>
        <v>8477.24</v>
      </c>
      <c r="K154" s="33" t="n">
        <f aca="false">SUM(K108:K153)</f>
        <v>6338216</v>
      </c>
      <c r="L154" s="33" t="n">
        <f aca="false">SUM(L114:L153)</f>
        <v>5515</v>
      </c>
      <c r="M154" s="34"/>
    </row>
    <row r="155" customFormat="false" ht="17.25" hidden="false" customHeight="true" outlineLevel="0" collapsed="false">
      <c r="A155" s="37" t="s">
        <v>170</v>
      </c>
      <c r="B155" s="38" t="s">
        <v>171</v>
      </c>
      <c r="C155" s="16" t="n">
        <v>144</v>
      </c>
      <c r="D155" s="56" t="s">
        <v>172</v>
      </c>
      <c r="E155" s="25" t="s">
        <v>16</v>
      </c>
      <c r="F155" s="19" t="n">
        <v>10.12</v>
      </c>
      <c r="G155" s="19" t="n">
        <v>115.54</v>
      </c>
      <c r="H155" s="65" t="n">
        <v>4.72</v>
      </c>
      <c r="I155" s="44"/>
      <c r="J155" s="65" t="n">
        <f aca="false">SUM(F155:H155)</f>
        <v>130.38</v>
      </c>
      <c r="K155" s="76" t="n">
        <v>88647</v>
      </c>
      <c r="L155" s="21" t="n">
        <v>104</v>
      </c>
      <c r="M155" s="51"/>
    </row>
    <row r="156" customFormat="false" ht="17.25" hidden="false" customHeight="true" outlineLevel="0" collapsed="false">
      <c r="A156" s="37"/>
      <c r="B156" s="44"/>
      <c r="C156" s="16" t="n">
        <v>145</v>
      </c>
      <c r="D156" s="59" t="s">
        <v>173</v>
      </c>
      <c r="E156" s="25" t="s">
        <v>16</v>
      </c>
      <c r="F156" s="19" t="n">
        <v>4.69</v>
      </c>
      <c r="G156" s="19" t="n">
        <v>56.95</v>
      </c>
      <c r="H156" s="65" t="n">
        <v>0.97</v>
      </c>
      <c r="I156" s="44"/>
      <c r="J156" s="65" t="n">
        <f aca="false">SUM(F156:H156)</f>
        <v>62.61</v>
      </c>
      <c r="K156" s="76" t="n">
        <v>41969</v>
      </c>
      <c r="L156" s="21" t="n">
        <v>88</v>
      </c>
      <c r="M156" s="77"/>
    </row>
    <row r="157" customFormat="false" ht="17.25" hidden="false" customHeight="true" outlineLevel="0" collapsed="false">
      <c r="A157" s="37"/>
      <c r="B157" s="44"/>
      <c r="C157" s="16" t="n">
        <v>146</v>
      </c>
      <c r="D157" s="59" t="s">
        <v>174</v>
      </c>
      <c r="E157" s="25" t="s">
        <v>16</v>
      </c>
      <c r="F157" s="19" t="n">
        <v>6.09</v>
      </c>
      <c r="G157" s="19" t="n">
        <v>85.4</v>
      </c>
      <c r="H157" s="65" t="n">
        <v>1.9</v>
      </c>
      <c r="I157" s="44"/>
      <c r="J157" s="65" t="n">
        <f aca="false">SUM(F157:H157)</f>
        <v>93.39</v>
      </c>
      <c r="K157" s="76" t="n">
        <v>63715</v>
      </c>
      <c r="L157" s="21" t="n">
        <v>123</v>
      </c>
      <c r="M157" s="51"/>
    </row>
    <row r="158" customFormat="false" ht="17.25" hidden="false" customHeight="true" outlineLevel="0" collapsed="false">
      <c r="A158" s="37"/>
      <c r="B158" s="44"/>
      <c r="C158" s="16" t="n">
        <v>147</v>
      </c>
      <c r="D158" s="59" t="s">
        <v>175</v>
      </c>
      <c r="E158" s="25" t="s">
        <v>16</v>
      </c>
      <c r="F158" s="19" t="n">
        <v>11.01</v>
      </c>
      <c r="G158" s="19" t="n">
        <v>57.49</v>
      </c>
      <c r="H158" s="65" t="n">
        <v>0.48</v>
      </c>
      <c r="I158" s="44"/>
      <c r="J158" s="65" t="n">
        <f aca="false">SUM(F158:H158)</f>
        <v>68.98</v>
      </c>
      <c r="K158" s="76" t="n">
        <v>43508</v>
      </c>
      <c r="L158" s="21" t="n">
        <v>98</v>
      </c>
      <c r="M158" s="51"/>
    </row>
    <row r="159" customFormat="false" ht="17.25" hidden="false" customHeight="true" outlineLevel="0" collapsed="false">
      <c r="A159" s="37"/>
      <c r="B159" s="44"/>
      <c r="C159" s="16" t="n">
        <v>148</v>
      </c>
      <c r="D159" s="59" t="s">
        <v>176</v>
      </c>
      <c r="E159" s="25" t="s">
        <v>16</v>
      </c>
      <c r="F159" s="19" t="n">
        <v>10.94</v>
      </c>
      <c r="G159" s="19" t="n">
        <v>130.5</v>
      </c>
      <c r="H159" s="65" t="n">
        <v>0.49</v>
      </c>
      <c r="I159" s="44"/>
      <c r="J159" s="65" t="n">
        <f aca="false">SUM(F159:H159)</f>
        <v>141.93</v>
      </c>
      <c r="K159" s="76" t="n">
        <v>98330</v>
      </c>
      <c r="L159" s="21" t="n">
        <v>202</v>
      </c>
      <c r="M159" s="51"/>
    </row>
    <row r="160" customFormat="false" ht="17.25" hidden="false" customHeight="true" outlineLevel="0" collapsed="false">
      <c r="A160" s="37"/>
      <c r="B160" s="44"/>
      <c r="C160" s="16" t="n">
        <v>149</v>
      </c>
      <c r="D160" s="59" t="s">
        <v>177</v>
      </c>
      <c r="E160" s="25" t="s">
        <v>16</v>
      </c>
      <c r="F160" s="19" t="n">
        <v>5.1</v>
      </c>
      <c r="G160" s="19" t="n">
        <v>54.92</v>
      </c>
      <c r="H160" s="65" t="n">
        <v>1.93</v>
      </c>
      <c r="I160" s="44"/>
      <c r="J160" s="65" t="n">
        <f aca="false">SUM(F160:H160)</f>
        <v>61.95</v>
      </c>
      <c r="K160" s="76" t="n">
        <v>41075</v>
      </c>
      <c r="L160" s="21" t="n">
        <v>110</v>
      </c>
      <c r="M160" s="51"/>
    </row>
    <row r="161" customFormat="false" ht="17.25" hidden="false" customHeight="true" outlineLevel="0" collapsed="false">
      <c r="A161" s="37"/>
      <c r="B161" s="44"/>
      <c r="C161" s="16" t="n">
        <v>150</v>
      </c>
      <c r="D161" s="59" t="s">
        <v>178</v>
      </c>
      <c r="E161" s="25" t="s">
        <v>16</v>
      </c>
      <c r="F161" s="19" t="n">
        <v>8.09</v>
      </c>
      <c r="G161" s="19" t="n">
        <v>74.27</v>
      </c>
      <c r="H161" s="65" t="n">
        <v>0.97</v>
      </c>
      <c r="I161" s="44"/>
      <c r="J161" s="65" t="n">
        <f aca="false">SUM(F161:H161)</f>
        <v>83.33</v>
      </c>
      <c r="K161" s="76" t="n">
        <v>54461</v>
      </c>
      <c r="L161" s="21" t="n">
        <v>95</v>
      </c>
      <c r="M161" s="51"/>
    </row>
    <row r="162" customFormat="false" ht="17.25" hidden="false" customHeight="true" outlineLevel="0" collapsed="false">
      <c r="A162" s="37"/>
      <c r="B162" s="44"/>
      <c r="C162" s="16" t="n">
        <v>151</v>
      </c>
      <c r="D162" s="59" t="s">
        <v>179</v>
      </c>
      <c r="E162" s="25" t="s">
        <v>16</v>
      </c>
      <c r="F162" s="19" t="n">
        <v>7.79</v>
      </c>
      <c r="G162" s="19" t="n">
        <v>112.75</v>
      </c>
      <c r="H162" s="65" t="n">
        <v>0.49</v>
      </c>
      <c r="I162" s="44"/>
      <c r="J162" s="65" t="n">
        <f aca="false">SUM(F162:H162)</f>
        <v>121.03</v>
      </c>
      <c r="K162" s="76" t="n">
        <v>83986</v>
      </c>
      <c r="L162" s="21" t="n">
        <v>75</v>
      </c>
      <c r="M162" s="51"/>
    </row>
    <row r="163" customFormat="false" ht="17.25" hidden="false" customHeight="true" outlineLevel="0" collapsed="false">
      <c r="A163" s="37"/>
      <c r="B163" s="44"/>
      <c r="C163" s="16" t="n">
        <v>152</v>
      </c>
      <c r="D163" s="59" t="s">
        <v>180</v>
      </c>
      <c r="E163" s="25" t="s">
        <v>16</v>
      </c>
      <c r="F163" s="19" t="n">
        <v>24.72</v>
      </c>
      <c r="G163" s="19" t="n">
        <v>145.65</v>
      </c>
      <c r="H163" s="65" t="n">
        <v>1.25</v>
      </c>
      <c r="I163" s="44"/>
      <c r="J163" s="65" t="n">
        <f aca="false">SUM(F163:H163)</f>
        <v>171.62</v>
      </c>
      <c r="K163" s="76" t="n">
        <v>109617</v>
      </c>
      <c r="L163" s="21" t="n">
        <v>131</v>
      </c>
      <c r="M163" s="51"/>
    </row>
    <row r="164" customFormat="false" ht="17.25" hidden="false" customHeight="true" outlineLevel="0" collapsed="false">
      <c r="A164" s="37"/>
      <c r="B164" s="44"/>
      <c r="C164" s="16" t="n">
        <v>153</v>
      </c>
      <c r="D164" s="59" t="s">
        <v>181</v>
      </c>
      <c r="E164" s="25" t="s">
        <v>16</v>
      </c>
      <c r="F164" s="19" t="n">
        <v>13.03</v>
      </c>
      <c r="G164" s="19" t="n">
        <v>139.52</v>
      </c>
      <c r="H164" s="65" t="n">
        <v>1.45</v>
      </c>
      <c r="I164" s="44"/>
      <c r="J164" s="65" t="n">
        <f aca="false">SUM(F164:H164)</f>
        <v>154</v>
      </c>
      <c r="K164" s="76" t="n">
        <v>104108</v>
      </c>
      <c r="L164" s="21" t="n">
        <v>157</v>
      </c>
      <c r="M164" s="51"/>
    </row>
    <row r="165" customFormat="false" ht="17.25" hidden="false" customHeight="true" outlineLevel="0" collapsed="false">
      <c r="A165" s="37"/>
      <c r="B165" s="44"/>
      <c r="C165" s="16" t="n">
        <v>154</v>
      </c>
      <c r="D165" s="59" t="s">
        <v>182</v>
      </c>
      <c r="E165" s="25" t="s">
        <v>16</v>
      </c>
      <c r="F165" s="19" t="n">
        <v>0</v>
      </c>
      <c r="G165" s="19" t="n">
        <v>65.46</v>
      </c>
      <c r="H165" s="65" t="n">
        <v>0</v>
      </c>
      <c r="I165" s="44"/>
      <c r="J165" s="65" t="n">
        <f aca="false">SUM(F165:H165)</f>
        <v>65.46</v>
      </c>
      <c r="K165" s="76" t="n">
        <v>50189</v>
      </c>
      <c r="L165" s="21" t="n">
        <v>90</v>
      </c>
      <c r="M165" s="51"/>
    </row>
    <row r="166" customFormat="false" ht="17.25" hidden="false" customHeight="true" outlineLevel="0" collapsed="false">
      <c r="A166" s="37"/>
      <c r="B166" s="44"/>
      <c r="C166" s="16" t="n">
        <v>155</v>
      </c>
      <c r="D166" s="59" t="s">
        <v>183</v>
      </c>
      <c r="E166" s="25" t="s">
        <v>16</v>
      </c>
      <c r="F166" s="19" t="n">
        <v>0</v>
      </c>
      <c r="G166" s="19" t="n">
        <v>61.15</v>
      </c>
      <c r="H166" s="65" t="n">
        <v>0</v>
      </c>
      <c r="I166" s="44"/>
      <c r="J166" s="65" t="n">
        <f aca="false">SUM(F166:H166)</f>
        <v>61.15</v>
      </c>
      <c r="K166" s="76" t="n">
        <v>46041</v>
      </c>
      <c r="L166" s="21" t="n">
        <v>135</v>
      </c>
      <c r="M166" s="51"/>
    </row>
    <row r="167" customFormat="false" ht="17.25" hidden="false" customHeight="true" outlineLevel="0" collapsed="false">
      <c r="A167" s="29" t="s">
        <v>46</v>
      </c>
      <c r="B167" s="29"/>
      <c r="C167" s="29"/>
      <c r="D167" s="29"/>
      <c r="E167" s="30"/>
      <c r="F167" s="31" t="n">
        <f aca="false">SUM(F155:F166)</f>
        <v>101.58</v>
      </c>
      <c r="G167" s="31" t="n">
        <f aca="false">SUM(G155:G166)</f>
        <v>1099.6</v>
      </c>
      <c r="H167" s="31" t="n">
        <f aca="false">SUM(H155:H166)</f>
        <v>14.65</v>
      </c>
      <c r="I167" s="31"/>
      <c r="J167" s="32" t="n">
        <f aca="false">SUM(J155:J166)</f>
        <v>1215.83</v>
      </c>
      <c r="K167" s="33" t="n">
        <f aca="false">SUM(K155:K166)</f>
        <v>825646</v>
      </c>
      <c r="L167" s="33" t="n">
        <f aca="false">SUM(L155:L166)</f>
        <v>1408</v>
      </c>
      <c r="M167" s="34"/>
      <c r="N167" s="35" t="n">
        <v>1110</v>
      </c>
    </row>
    <row r="168" customFormat="false" ht="17.25" hidden="false" customHeight="true" outlineLevel="0" collapsed="false">
      <c r="A168" s="37" t="s">
        <v>184</v>
      </c>
      <c r="B168" s="38" t="s">
        <v>185</v>
      </c>
      <c r="C168" s="16" t="n">
        <v>156</v>
      </c>
      <c r="D168" s="17" t="s">
        <v>186</v>
      </c>
      <c r="E168" s="25" t="s">
        <v>16</v>
      </c>
      <c r="F168" s="19" t="n">
        <v>1.05</v>
      </c>
      <c r="G168" s="19" t="n">
        <v>17.34</v>
      </c>
      <c r="H168" s="19" t="n">
        <v>3.34</v>
      </c>
      <c r="I168" s="19"/>
      <c r="J168" s="65" t="n">
        <f aca="false">SUM(F168:H168)</f>
        <v>21.73</v>
      </c>
      <c r="K168" s="76" t="n">
        <v>14656</v>
      </c>
      <c r="L168" s="66" t="n">
        <v>15</v>
      </c>
      <c r="M168" s="51"/>
      <c r="N168" s="78" t="n">
        <f aca="false">J167</f>
        <v>1215.83</v>
      </c>
    </row>
    <row r="169" customFormat="false" ht="17.25" hidden="false" customHeight="true" outlineLevel="0" collapsed="false">
      <c r="A169" s="37"/>
      <c r="B169" s="44"/>
      <c r="C169" s="16" t="n">
        <v>157</v>
      </c>
      <c r="D169" s="17" t="s">
        <v>187</v>
      </c>
      <c r="E169" s="25" t="s">
        <v>16</v>
      </c>
      <c r="F169" s="19" t="n">
        <v>0</v>
      </c>
      <c r="G169" s="19" t="n">
        <v>7.05</v>
      </c>
      <c r="H169" s="19" t="n">
        <v>2.62</v>
      </c>
      <c r="I169" s="19"/>
      <c r="J169" s="65" t="n">
        <f aca="false">SUM(F169:H169)</f>
        <v>9.67</v>
      </c>
      <c r="K169" s="76" t="n">
        <v>6003</v>
      </c>
      <c r="L169" s="66" t="n">
        <v>14</v>
      </c>
      <c r="M169" s="51"/>
      <c r="N169" s="2" t="n">
        <f aca="false">N168+N167</f>
        <v>2325.83</v>
      </c>
    </row>
    <row r="170" customFormat="false" ht="17.25" hidden="false" customHeight="true" outlineLevel="0" collapsed="false">
      <c r="A170" s="37"/>
      <c r="B170" s="44"/>
      <c r="C170" s="16" t="n">
        <v>158</v>
      </c>
      <c r="D170" s="17" t="s">
        <v>188</v>
      </c>
      <c r="E170" s="25" t="s">
        <v>16</v>
      </c>
      <c r="F170" s="19" t="n">
        <v>0</v>
      </c>
      <c r="G170" s="19" t="n">
        <v>3.82</v>
      </c>
      <c r="H170" s="19" t="n">
        <v>0.97</v>
      </c>
      <c r="I170" s="19"/>
      <c r="J170" s="65" t="n">
        <f aca="false">SUM(F170:H170)</f>
        <v>4.79</v>
      </c>
      <c r="K170" s="76" t="n">
        <v>3163</v>
      </c>
      <c r="L170" s="66" t="n">
        <v>5</v>
      </c>
      <c r="M170" s="51"/>
    </row>
    <row r="171" customFormat="false" ht="17.25" hidden="false" customHeight="true" outlineLevel="0" collapsed="false">
      <c r="A171" s="37"/>
      <c r="B171" s="44"/>
      <c r="C171" s="16" t="n">
        <v>159</v>
      </c>
      <c r="D171" s="17" t="s">
        <v>189</v>
      </c>
      <c r="E171" s="25" t="s">
        <v>16</v>
      </c>
      <c r="F171" s="19" t="n">
        <v>0</v>
      </c>
      <c r="G171" s="19" t="n">
        <v>2.85</v>
      </c>
      <c r="H171" s="19" t="n">
        <v>3.78</v>
      </c>
      <c r="I171" s="19"/>
      <c r="J171" s="65" t="n">
        <f aca="false">SUM(F171:H171)</f>
        <v>6.63</v>
      </c>
      <c r="K171" s="76" t="n">
        <v>2464</v>
      </c>
      <c r="L171" s="66" t="n">
        <v>10</v>
      </c>
      <c r="M171" s="51"/>
    </row>
    <row r="172" customFormat="false" ht="17.25" hidden="false" customHeight="true" outlineLevel="0" collapsed="false">
      <c r="A172" s="37"/>
      <c r="B172" s="44"/>
      <c r="C172" s="16" t="n">
        <v>160</v>
      </c>
      <c r="D172" s="17" t="s">
        <v>190</v>
      </c>
      <c r="E172" s="25" t="s">
        <v>16</v>
      </c>
      <c r="F172" s="19" t="n">
        <v>0</v>
      </c>
      <c r="G172" s="19" t="n">
        <v>27.23</v>
      </c>
      <c r="H172" s="19" t="n">
        <v>5.81</v>
      </c>
      <c r="I172" s="19"/>
      <c r="J172" s="65" t="n">
        <f aca="false">SUM(F172:H172)</f>
        <v>33.04</v>
      </c>
      <c r="K172" s="76" t="n">
        <v>23061</v>
      </c>
      <c r="L172" s="66" t="n">
        <v>10</v>
      </c>
      <c r="M172" s="51"/>
    </row>
    <row r="173" customFormat="false" ht="17.25" hidden="false" customHeight="true" outlineLevel="0" collapsed="false">
      <c r="A173" s="37"/>
      <c r="B173" s="44"/>
      <c r="C173" s="16" t="n">
        <v>161</v>
      </c>
      <c r="D173" s="17" t="s">
        <v>191</v>
      </c>
      <c r="E173" s="25" t="s">
        <v>16</v>
      </c>
      <c r="F173" s="19" t="n">
        <v>2.61</v>
      </c>
      <c r="G173" s="19" t="n">
        <v>17.4</v>
      </c>
      <c r="H173" s="19" t="n">
        <v>3.91</v>
      </c>
      <c r="I173" s="19"/>
      <c r="J173" s="65" t="n">
        <f aca="false">SUM(F173:H173)</f>
        <v>23.92</v>
      </c>
      <c r="K173" s="76" t="n">
        <v>14558</v>
      </c>
      <c r="L173" s="66" t="n">
        <v>41</v>
      </c>
      <c r="M173" s="51"/>
    </row>
    <row r="174" customFormat="false" ht="17.25" hidden="false" customHeight="true" outlineLevel="0" collapsed="false">
      <c r="A174" s="37"/>
      <c r="B174" s="44"/>
      <c r="C174" s="16" t="n">
        <v>162</v>
      </c>
      <c r="D174" s="17" t="s">
        <v>192</v>
      </c>
      <c r="E174" s="25" t="s">
        <v>16</v>
      </c>
      <c r="F174" s="19" t="n">
        <v>1.02</v>
      </c>
      <c r="G174" s="19" t="n">
        <v>9.69</v>
      </c>
      <c r="H174" s="19" t="n">
        <v>0</v>
      </c>
      <c r="I174" s="19"/>
      <c r="J174" s="65" t="n">
        <f aca="false">SUM(F174:H174)</f>
        <v>10.71</v>
      </c>
      <c r="K174" s="76" t="n">
        <v>8340</v>
      </c>
      <c r="L174" s="66" t="n">
        <v>36</v>
      </c>
      <c r="M174" s="51"/>
    </row>
    <row r="175" customFormat="false" ht="17.25" hidden="false" customHeight="true" outlineLevel="0" collapsed="false">
      <c r="A175" s="37"/>
      <c r="B175" s="44"/>
      <c r="C175" s="16" t="n">
        <v>163</v>
      </c>
      <c r="D175" s="17" t="s">
        <v>193</v>
      </c>
      <c r="E175" s="25" t="s">
        <v>16</v>
      </c>
      <c r="F175" s="19" t="n">
        <v>6.22</v>
      </c>
      <c r="G175" s="19" t="n">
        <v>20.18</v>
      </c>
      <c r="H175" s="19" t="n">
        <v>21.12</v>
      </c>
      <c r="I175" s="19"/>
      <c r="J175" s="65" t="n">
        <f aca="false">SUM(F175:H175)</f>
        <v>47.52</v>
      </c>
      <c r="K175" s="76" t="n">
        <v>17419</v>
      </c>
      <c r="L175" s="66" t="n">
        <v>69</v>
      </c>
      <c r="M175" s="51"/>
    </row>
    <row r="176" customFormat="false" ht="17.25" hidden="false" customHeight="true" outlineLevel="0" collapsed="false">
      <c r="A176" s="37"/>
      <c r="B176" s="44"/>
      <c r="C176" s="16" t="n">
        <v>164</v>
      </c>
      <c r="D176" s="17" t="s">
        <v>194</v>
      </c>
      <c r="E176" s="25" t="s">
        <v>16</v>
      </c>
      <c r="F176" s="19" t="n">
        <v>4.16</v>
      </c>
      <c r="G176" s="19" t="n">
        <v>64.62</v>
      </c>
      <c r="H176" s="19" t="n">
        <v>10.54</v>
      </c>
      <c r="I176" s="19"/>
      <c r="J176" s="65" t="n">
        <f aca="false">SUM(F176:H176)</f>
        <v>79.32</v>
      </c>
      <c r="K176" s="76" t="n">
        <v>54849</v>
      </c>
      <c r="L176" s="66" t="n">
        <v>177</v>
      </c>
      <c r="M176" s="51"/>
    </row>
    <row r="177" customFormat="false" ht="17.25" hidden="false" customHeight="true" outlineLevel="0" collapsed="false">
      <c r="A177" s="37"/>
      <c r="B177" s="44"/>
      <c r="C177" s="16" t="n">
        <v>165</v>
      </c>
      <c r="D177" s="17" t="s">
        <v>195</v>
      </c>
      <c r="E177" s="25" t="s">
        <v>16</v>
      </c>
      <c r="F177" s="19" t="n">
        <v>21.51</v>
      </c>
      <c r="G177" s="19" t="n">
        <v>206.86</v>
      </c>
      <c r="H177" s="19" t="n">
        <v>5.67</v>
      </c>
      <c r="I177" s="19"/>
      <c r="J177" s="65" t="n">
        <f aca="false">SUM(F177:H177)</f>
        <v>234.04</v>
      </c>
      <c r="K177" s="76" t="n">
        <v>176652</v>
      </c>
      <c r="L177" s="66" t="n">
        <v>97</v>
      </c>
      <c r="M177" s="51"/>
    </row>
    <row r="178" customFormat="false" ht="17.25" hidden="false" customHeight="true" outlineLevel="0" collapsed="false">
      <c r="A178" s="37"/>
      <c r="B178" s="44"/>
      <c r="C178" s="16" t="n">
        <v>166</v>
      </c>
      <c r="D178" s="17" t="s">
        <v>196</v>
      </c>
      <c r="E178" s="25" t="s">
        <v>16</v>
      </c>
      <c r="F178" s="19" t="n">
        <v>0</v>
      </c>
      <c r="G178" s="19" t="n">
        <v>43.8</v>
      </c>
      <c r="H178" s="19" t="n">
        <v>45.09</v>
      </c>
      <c r="I178" s="19"/>
      <c r="J178" s="65" t="n">
        <f aca="false">SUM(F178:H178)</f>
        <v>88.89</v>
      </c>
      <c r="K178" s="76" t="n">
        <v>36389</v>
      </c>
      <c r="L178" s="66" t="n">
        <v>117</v>
      </c>
      <c r="M178" s="51"/>
    </row>
    <row r="179" customFormat="false" ht="17.25" hidden="false" customHeight="true" outlineLevel="0" collapsed="false">
      <c r="A179" s="37"/>
      <c r="B179" s="44"/>
      <c r="C179" s="16" t="n">
        <v>167</v>
      </c>
      <c r="D179" s="17" t="s">
        <v>197</v>
      </c>
      <c r="E179" s="25" t="s">
        <v>16</v>
      </c>
      <c r="F179" s="19" t="n">
        <v>0</v>
      </c>
      <c r="G179" s="19" t="n">
        <v>154.26</v>
      </c>
      <c r="H179" s="19" t="n">
        <v>0</v>
      </c>
      <c r="I179" s="19"/>
      <c r="J179" s="65" t="n">
        <f aca="false">SUM(F179:H179)</f>
        <v>154.26</v>
      </c>
      <c r="K179" s="76" t="n">
        <v>128427</v>
      </c>
      <c r="L179" s="66" t="n">
        <v>93</v>
      </c>
      <c r="M179" s="51"/>
    </row>
    <row r="180" customFormat="false" ht="17.25" hidden="false" customHeight="true" outlineLevel="0" collapsed="false">
      <c r="A180" s="37"/>
      <c r="B180" s="44"/>
      <c r="C180" s="16" t="n">
        <v>168</v>
      </c>
      <c r="D180" s="17" t="s">
        <v>198</v>
      </c>
      <c r="E180" s="25" t="s">
        <v>16</v>
      </c>
      <c r="F180" s="19" t="n">
        <v>5.11</v>
      </c>
      <c r="G180" s="19" t="n">
        <v>116.86</v>
      </c>
      <c r="H180" s="19" t="n">
        <v>10.8</v>
      </c>
      <c r="I180" s="19"/>
      <c r="J180" s="65" t="n">
        <f aca="false">SUM(F180:H180)</f>
        <v>132.77</v>
      </c>
      <c r="K180" s="76" t="n">
        <v>100309</v>
      </c>
      <c r="L180" s="66" t="n">
        <v>230</v>
      </c>
      <c r="M180" s="51"/>
    </row>
    <row r="181" customFormat="false" ht="17.25" hidden="false" customHeight="true" outlineLevel="0" collapsed="false">
      <c r="A181" s="37"/>
      <c r="B181" s="44"/>
      <c r="C181" s="16" t="n">
        <v>169</v>
      </c>
      <c r="D181" s="17" t="s">
        <v>199</v>
      </c>
      <c r="E181" s="25" t="s">
        <v>16</v>
      </c>
      <c r="F181" s="19" t="n">
        <v>3.1</v>
      </c>
      <c r="G181" s="19" t="n">
        <v>10.38</v>
      </c>
      <c r="H181" s="19" t="n">
        <v>3.77</v>
      </c>
      <c r="I181" s="19"/>
      <c r="J181" s="65" t="n">
        <f aca="false">SUM(F181:H181)</f>
        <v>17.25</v>
      </c>
      <c r="K181" s="76" t="n">
        <v>8588</v>
      </c>
      <c r="L181" s="66" t="n">
        <v>42</v>
      </c>
      <c r="M181" s="51"/>
    </row>
    <row r="182" customFormat="false" ht="17.25" hidden="false" customHeight="true" outlineLevel="0" collapsed="false">
      <c r="A182" s="37"/>
      <c r="B182" s="44"/>
      <c r="C182" s="16" t="n">
        <v>170</v>
      </c>
      <c r="D182" s="17" t="s">
        <v>200</v>
      </c>
      <c r="E182" s="25" t="s">
        <v>16</v>
      </c>
      <c r="F182" s="19" t="n">
        <v>2.06</v>
      </c>
      <c r="G182" s="19" t="n">
        <v>136.96</v>
      </c>
      <c r="H182" s="19" t="n">
        <v>4.76</v>
      </c>
      <c r="I182" s="19"/>
      <c r="J182" s="65" t="n">
        <f aca="false">SUM(F182:H182)</f>
        <v>143.78</v>
      </c>
      <c r="K182" s="76" t="n">
        <v>114645</v>
      </c>
      <c r="L182" s="66" t="n">
        <v>91</v>
      </c>
      <c r="M182" s="51"/>
    </row>
    <row r="183" customFormat="false" ht="17.25" hidden="false" customHeight="true" outlineLevel="0" collapsed="false">
      <c r="A183" s="37"/>
      <c r="B183" s="44"/>
      <c r="C183" s="16" t="n">
        <v>171</v>
      </c>
      <c r="D183" s="17" t="s">
        <v>201</v>
      </c>
      <c r="E183" s="25" t="s">
        <v>16</v>
      </c>
      <c r="F183" s="19" t="n">
        <v>3.13</v>
      </c>
      <c r="G183" s="19" t="n">
        <v>30.36</v>
      </c>
      <c r="H183" s="19" t="n">
        <v>5.65</v>
      </c>
      <c r="I183" s="19"/>
      <c r="J183" s="65" t="n">
        <f aca="false">SUM(F183:H183)</f>
        <v>39.14</v>
      </c>
      <c r="K183" s="76" t="n">
        <v>25498</v>
      </c>
      <c r="L183" s="66" t="n">
        <v>36</v>
      </c>
      <c r="M183" s="51"/>
    </row>
    <row r="184" customFormat="false" ht="17.25" hidden="false" customHeight="true" outlineLevel="0" collapsed="false">
      <c r="A184" s="37"/>
      <c r="B184" s="44"/>
      <c r="C184" s="16" t="n">
        <v>172</v>
      </c>
      <c r="D184" s="17" t="s">
        <v>202</v>
      </c>
      <c r="E184" s="25" t="s">
        <v>16</v>
      </c>
      <c r="F184" s="19" t="n">
        <v>2.09</v>
      </c>
      <c r="G184" s="19" t="n">
        <v>44.39</v>
      </c>
      <c r="H184" s="19" t="n">
        <v>3.76</v>
      </c>
      <c r="I184" s="19"/>
      <c r="J184" s="65" t="n">
        <f aca="false">SUM(F184:H184)</f>
        <v>50.24</v>
      </c>
      <c r="K184" s="76" t="n">
        <v>37294</v>
      </c>
      <c r="L184" s="66" t="n">
        <v>57</v>
      </c>
      <c r="M184" s="51"/>
    </row>
    <row r="185" customFormat="false" ht="17.25" hidden="false" customHeight="true" outlineLevel="0" collapsed="false">
      <c r="A185" s="37"/>
      <c r="B185" s="44"/>
      <c r="C185" s="16" t="n">
        <v>173</v>
      </c>
      <c r="D185" s="17" t="s">
        <v>203</v>
      </c>
      <c r="E185" s="25" t="s">
        <v>16</v>
      </c>
      <c r="F185" s="19" t="n">
        <v>2.04</v>
      </c>
      <c r="G185" s="19" t="n">
        <v>26.3</v>
      </c>
      <c r="H185" s="19" t="n">
        <v>3.77</v>
      </c>
      <c r="I185" s="19"/>
      <c r="J185" s="65" t="n">
        <f aca="false">SUM(F185:H185)</f>
        <v>32.11</v>
      </c>
      <c r="K185" s="76" t="n">
        <v>22390</v>
      </c>
      <c r="L185" s="66" t="n">
        <v>44</v>
      </c>
      <c r="M185" s="51"/>
    </row>
    <row r="186" customFormat="false" ht="17.25" hidden="false" customHeight="true" outlineLevel="0" collapsed="false">
      <c r="A186" s="37"/>
      <c r="B186" s="44"/>
      <c r="C186" s="16" t="n">
        <v>174</v>
      </c>
      <c r="D186" s="17" t="s">
        <v>204</v>
      </c>
      <c r="E186" s="25" t="s">
        <v>16</v>
      </c>
      <c r="F186" s="19" t="n">
        <v>3.05</v>
      </c>
      <c r="G186" s="19" t="n">
        <v>92.62</v>
      </c>
      <c r="H186" s="19" t="n">
        <v>5.91</v>
      </c>
      <c r="I186" s="19"/>
      <c r="J186" s="65" t="n">
        <f aca="false">SUM(F186:H186)</f>
        <v>101.58</v>
      </c>
      <c r="K186" s="76" t="n">
        <v>77144</v>
      </c>
      <c r="L186" s="66" t="n">
        <v>135</v>
      </c>
      <c r="M186" s="51"/>
    </row>
    <row r="187" customFormat="false" ht="17.25" hidden="false" customHeight="true" outlineLevel="0" collapsed="false">
      <c r="A187" s="37"/>
      <c r="B187" s="44"/>
      <c r="C187" s="16" t="n">
        <v>175</v>
      </c>
      <c r="D187" s="17" t="s">
        <v>205</v>
      </c>
      <c r="E187" s="25" t="s">
        <v>16</v>
      </c>
      <c r="F187" s="19" t="n">
        <v>11.39</v>
      </c>
      <c r="G187" s="19" t="n">
        <v>193</v>
      </c>
      <c r="H187" s="19" t="n">
        <v>20.14</v>
      </c>
      <c r="I187" s="19"/>
      <c r="J187" s="65" t="n">
        <f aca="false">SUM(F187:H187)</f>
        <v>224.53</v>
      </c>
      <c r="K187" s="76" t="n">
        <v>165974</v>
      </c>
      <c r="L187" s="66" t="n">
        <v>249</v>
      </c>
      <c r="M187" s="51"/>
    </row>
    <row r="188" customFormat="false" ht="17.25" hidden="false" customHeight="true" outlineLevel="0" collapsed="false">
      <c r="A188" s="37"/>
      <c r="B188" s="44"/>
      <c r="C188" s="16" t="n">
        <v>176</v>
      </c>
      <c r="D188" s="17" t="s">
        <v>206</v>
      </c>
      <c r="E188" s="25" t="s">
        <v>16</v>
      </c>
      <c r="F188" s="19" t="n">
        <v>2.6</v>
      </c>
      <c r="G188" s="19" t="n">
        <v>108.44</v>
      </c>
      <c r="H188" s="19" t="n">
        <v>54.91</v>
      </c>
      <c r="I188" s="19"/>
      <c r="J188" s="65" t="n">
        <f aca="false">SUM(F188:H188)</f>
        <v>165.95</v>
      </c>
      <c r="K188" s="76" t="n">
        <v>90425</v>
      </c>
      <c r="L188" s="66" t="n">
        <v>200</v>
      </c>
      <c r="M188" s="51"/>
    </row>
    <row r="189" customFormat="false" ht="17.25" hidden="false" customHeight="true" outlineLevel="0" collapsed="false">
      <c r="A189" s="37"/>
      <c r="B189" s="44"/>
      <c r="C189" s="16" t="n">
        <v>177</v>
      </c>
      <c r="D189" s="17" t="s">
        <v>207</v>
      </c>
      <c r="E189" s="25" t="s">
        <v>16</v>
      </c>
      <c r="F189" s="19" t="n">
        <v>21.32</v>
      </c>
      <c r="G189" s="19" t="n">
        <v>40.8</v>
      </c>
      <c r="H189" s="19"/>
      <c r="I189" s="19"/>
      <c r="J189" s="65" t="n">
        <f aca="false">SUM(F189:H189)</f>
        <v>62.12</v>
      </c>
      <c r="K189" s="76" t="n">
        <v>34219</v>
      </c>
      <c r="L189" s="66" t="n">
        <v>83</v>
      </c>
      <c r="M189" s="51"/>
    </row>
    <row r="190" customFormat="false" ht="17.25" hidden="false" customHeight="true" outlineLevel="0" collapsed="false">
      <c r="A190" s="37"/>
      <c r="B190" s="44"/>
      <c r="C190" s="16" t="n">
        <v>178</v>
      </c>
      <c r="D190" s="17" t="s">
        <v>208</v>
      </c>
      <c r="E190" s="25" t="s">
        <v>16</v>
      </c>
      <c r="F190" s="19" t="n">
        <v>3.1</v>
      </c>
      <c r="G190" s="19" t="n">
        <v>53.41</v>
      </c>
      <c r="H190" s="19" t="n">
        <v>2.87</v>
      </c>
      <c r="I190" s="19"/>
      <c r="J190" s="65" t="n">
        <f aca="false">SUM(F190:H190)</f>
        <v>59.38</v>
      </c>
      <c r="K190" s="76" t="n">
        <v>44251</v>
      </c>
      <c r="L190" s="66" t="n">
        <v>81</v>
      </c>
      <c r="M190" s="51"/>
    </row>
    <row r="191" customFormat="false" ht="17.25" hidden="false" customHeight="true" outlineLevel="0" collapsed="false">
      <c r="A191" s="37"/>
      <c r="B191" s="44"/>
      <c r="C191" s="16" t="n">
        <v>179</v>
      </c>
      <c r="D191" s="17" t="s">
        <v>209</v>
      </c>
      <c r="E191" s="25" t="s">
        <v>16</v>
      </c>
      <c r="F191" s="19" t="n">
        <v>6.35</v>
      </c>
      <c r="G191" s="19" t="n">
        <v>181.07</v>
      </c>
      <c r="H191" s="19" t="n">
        <v>11.78</v>
      </c>
      <c r="I191" s="19"/>
      <c r="J191" s="65" t="n">
        <f aca="false">SUM(F191:H191)</f>
        <v>199.2</v>
      </c>
      <c r="K191" s="76" t="n">
        <v>151580</v>
      </c>
      <c r="L191" s="66" t="n">
        <v>141</v>
      </c>
      <c r="M191" s="51"/>
    </row>
    <row r="192" customFormat="false" ht="17.25" hidden="false" customHeight="true" outlineLevel="0" collapsed="false">
      <c r="A192" s="37"/>
      <c r="B192" s="44"/>
      <c r="C192" s="16" t="n">
        <v>180</v>
      </c>
      <c r="D192" s="17" t="s">
        <v>210</v>
      </c>
      <c r="E192" s="25" t="s">
        <v>16</v>
      </c>
      <c r="F192" s="19" t="n">
        <v>0</v>
      </c>
      <c r="G192" s="19" t="n">
        <v>65.04</v>
      </c>
      <c r="H192" s="19" t="n">
        <v>0</v>
      </c>
      <c r="I192" s="19"/>
      <c r="J192" s="65" t="n">
        <f aca="false">SUM(F192:H192)</f>
        <v>65.04</v>
      </c>
      <c r="K192" s="76" t="n">
        <v>56063</v>
      </c>
      <c r="L192" s="66" t="n">
        <v>129</v>
      </c>
      <c r="M192" s="51"/>
    </row>
    <row r="193" customFormat="false" ht="17.25" hidden="false" customHeight="true" outlineLevel="0" collapsed="false">
      <c r="A193" s="37"/>
      <c r="B193" s="44"/>
      <c r="C193" s="16" t="n">
        <v>181</v>
      </c>
      <c r="D193" s="17" t="s">
        <v>211</v>
      </c>
      <c r="E193" s="25" t="s">
        <v>16</v>
      </c>
      <c r="F193" s="19" t="n">
        <v>11.31</v>
      </c>
      <c r="G193" s="19" t="n">
        <v>82.26</v>
      </c>
      <c r="H193" s="19" t="n">
        <v>6.71</v>
      </c>
      <c r="I193" s="19"/>
      <c r="J193" s="65" t="n">
        <f aca="false">SUM(F193:H193)</f>
        <v>100.28</v>
      </c>
      <c r="K193" s="76" t="n">
        <v>68792</v>
      </c>
      <c r="L193" s="66" t="n">
        <v>68</v>
      </c>
      <c r="M193" s="51"/>
    </row>
    <row r="194" customFormat="false" ht="17.25" hidden="false" customHeight="true" outlineLevel="0" collapsed="false">
      <c r="A194" s="37"/>
      <c r="B194" s="44"/>
      <c r="C194" s="16" t="n">
        <v>182</v>
      </c>
      <c r="D194" s="17" t="s">
        <v>212</v>
      </c>
      <c r="E194" s="25" t="s">
        <v>16</v>
      </c>
      <c r="F194" s="19" t="n">
        <v>6.28</v>
      </c>
      <c r="G194" s="19" t="n">
        <v>11.36</v>
      </c>
      <c r="H194" s="19" t="n">
        <v>11.51</v>
      </c>
      <c r="I194" s="19"/>
      <c r="J194" s="65" t="n">
        <f aca="false">SUM(F194:H194)</f>
        <v>29.15</v>
      </c>
      <c r="K194" s="76" t="n">
        <v>9686</v>
      </c>
      <c r="L194" s="66" t="n">
        <v>77</v>
      </c>
      <c r="M194" s="51"/>
    </row>
    <row r="195" customFormat="false" ht="17.25" hidden="false" customHeight="true" outlineLevel="0" collapsed="false">
      <c r="A195" s="37"/>
      <c r="B195" s="44"/>
      <c r="C195" s="16" t="n">
        <v>183</v>
      </c>
      <c r="D195" s="17" t="s">
        <v>213</v>
      </c>
      <c r="E195" s="25" t="s">
        <v>16</v>
      </c>
      <c r="F195" s="19" t="n">
        <v>5.28</v>
      </c>
      <c r="G195" s="19" t="n">
        <v>132.16</v>
      </c>
      <c r="H195" s="19" t="n">
        <v>11.77</v>
      </c>
      <c r="I195" s="19"/>
      <c r="J195" s="65" t="n">
        <f aca="false">SUM(F195:H195)</f>
        <v>149.21</v>
      </c>
      <c r="K195" s="76" t="n">
        <v>109128</v>
      </c>
      <c r="L195" s="66" t="n">
        <v>155</v>
      </c>
      <c r="M195" s="51"/>
    </row>
    <row r="196" customFormat="false" ht="17.25" hidden="false" customHeight="true" outlineLevel="0" collapsed="false">
      <c r="A196" s="37"/>
      <c r="B196" s="44"/>
      <c r="C196" s="16" t="n">
        <v>184</v>
      </c>
      <c r="D196" s="17" t="s">
        <v>214</v>
      </c>
      <c r="E196" s="25" t="s">
        <v>16</v>
      </c>
      <c r="F196" s="19" t="n">
        <v>2.12</v>
      </c>
      <c r="G196" s="19" t="n">
        <v>233.58</v>
      </c>
      <c r="H196" s="19" t="n">
        <v>11.38</v>
      </c>
      <c r="I196" s="19"/>
      <c r="J196" s="65" t="n">
        <f aca="false">SUM(F196:H196)</f>
        <v>247.08</v>
      </c>
      <c r="K196" s="76" t="n">
        <v>199130</v>
      </c>
      <c r="L196" s="66" t="n">
        <v>197</v>
      </c>
      <c r="M196" s="51"/>
    </row>
    <row r="197" customFormat="false" ht="17.25" hidden="false" customHeight="true" outlineLevel="0" collapsed="false">
      <c r="A197" s="37"/>
      <c r="B197" s="44"/>
      <c r="C197" s="16" t="n">
        <v>185</v>
      </c>
      <c r="D197" s="17" t="s">
        <v>215</v>
      </c>
      <c r="E197" s="25" t="s">
        <v>16</v>
      </c>
      <c r="F197" s="19" t="n">
        <v>26.65</v>
      </c>
      <c r="G197" s="19" t="n">
        <v>45.21</v>
      </c>
      <c r="H197" s="19" t="n">
        <v>50.13</v>
      </c>
      <c r="I197" s="19"/>
      <c r="J197" s="65" t="n">
        <f aca="false">SUM(F197:H197)</f>
        <v>121.99</v>
      </c>
      <c r="K197" s="76" t="n">
        <v>38909</v>
      </c>
      <c r="L197" s="66" t="n">
        <v>91</v>
      </c>
      <c r="M197" s="51"/>
    </row>
    <row r="198" customFormat="false" ht="17.25" hidden="false" customHeight="true" outlineLevel="0" collapsed="false">
      <c r="A198" s="37"/>
      <c r="B198" s="44"/>
      <c r="C198" s="16" t="n">
        <v>186</v>
      </c>
      <c r="D198" s="17" t="s">
        <v>216</v>
      </c>
      <c r="E198" s="25" t="s">
        <v>16</v>
      </c>
      <c r="F198" s="19" t="n">
        <v>16.51</v>
      </c>
      <c r="G198" s="19" t="n">
        <v>102.4</v>
      </c>
      <c r="H198" s="19" t="n">
        <v>16.65</v>
      </c>
      <c r="I198" s="19"/>
      <c r="J198" s="65" t="n">
        <f aca="false">SUM(F198:H198)</f>
        <v>135.56</v>
      </c>
      <c r="K198" s="76" t="n">
        <v>87239</v>
      </c>
      <c r="L198" s="66" t="n">
        <v>208</v>
      </c>
      <c r="M198" s="51"/>
    </row>
    <row r="199" customFormat="false" ht="17.25" hidden="false" customHeight="true" outlineLevel="0" collapsed="false">
      <c r="A199" s="37"/>
      <c r="B199" s="44"/>
      <c r="C199" s="16" t="n">
        <v>187</v>
      </c>
      <c r="D199" s="17" t="s">
        <v>217</v>
      </c>
      <c r="E199" s="25" t="s">
        <v>16</v>
      </c>
      <c r="F199" s="19" t="n">
        <v>3.13</v>
      </c>
      <c r="G199" s="19" t="n">
        <v>678.27</v>
      </c>
      <c r="H199" s="19" t="n">
        <v>197.53</v>
      </c>
      <c r="I199" s="19"/>
      <c r="J199" s="65" t="n">
        <f aca="false">SUM(F199:H199)</f>
        <v>878.93</v>
      </c>
      <c r="K199" s="76" t="n">
        <v>562210</v>
      </c>
      <c r="L199" s="66" t="n">
        <v>125</v>
      </c>
      <c r="M199" s="51"/>
    </row>
    <row r="200" customFormat="false" ht="17.25" hidden="false" customHeight="true" outlineLevel="0" collapsed="false">
      <c r="A200" s="37"/>
      <c r="B200" s="44"/>
      <c r="C200" s="16" t="n">
        <v>188</v>
      </c>
      <c r="D200" s="17" t="s">
        <v>218</v>
      </c>
      <c r="E200" s="25" t="s">
        <v>16</v>
      </c>
      <c r="F200" s="19" t="n">
        <v>11.55</v>
      </c>
      <c r="G200" s="19" t="n">
        <v>84.87</v>
      </c>
      <c r="H200" s="19" t="n">
        <v>10.58</v>
      </c>
      <c r="I200" s="19"/>
      <c r="J200" s="65" t="n">
        <f aca="false">SUM(F200:H200)</f>
        <v>107</v>
      </c>
      <c r="K200" s="76" t="n">
        <v>71562</v>
      </c>
      <c r="L200" s="66" t="n">
        <v>167</v>
      </c>
      <c r="M200" s="51"/>
    </row>
    <row r="201" customFormat="false" ht="17.25" hidden="false" customHeight="true" outlineLevel="0" collapsed="false">
      <c r="A201" s="37"/>
      <c r="B201" s="44"/>
      <c r="C201" s="16" t="n">
        <v>189</v>
      </c>
      <c r="D201" s="17" t="s">
        <v>219</v>
      </c>
      <c r="E201" s="25" t="s">
        <v>16</v>
      </c>
      <c r="F201" s="19" t="n">
        <v>7.11</v>
      </c>
      <c r="G201" s="19" t="n">
        <v>174.95</v>
      </c>
      <c r="H201" s="19" t="n">
        <v>4.76</v>
      </c>
      <c r="I201" s="19"/>
      <c r="J201" s="65" t="n">
        <f aca="false">SUM(F201:H201)</f>
        <v>186.82</v>
      </c>
      <c r="K201" s="76" t="n">
        <v>146628</v>
      </c>
      <c r="L201" s="66" t="n">
        <v>228</v>
      </c>
      <c r="M201" s="51"/>
    </row>
    <row r="202" customFormat="false" ht="17.25" hidden="false" customHeight="true" outlineLevel="0" collapsed="false">
      <c r="A202" s="37"/>
      <c r="B202" s="44"/>
      <c r="C202" s="16" t="n">
        <v>190</v>
      </c>
      <c r="D202" s="17" t="s">
        <v>220</v>
      </c>
      <c r="E202" s="25" t="s">
        <v>16</v>
      </c>
      <c r="F202" s="19" t="n">
        <v>43.73</v>
      </c>
      <c r="G202" s="19" t="n">
        <v>236.1</v>
      </c>
      <c r="H202" s="19" t="n">
        <v>2.89</v>
      </c>
      <c r="I202" s="19"/>
      <c r="J202" s="65" t="n">
        <f aca="false">SUM(F202:H202)</f>
        <v>282.72</v>
      </c>
      <c r="K202" s="76" t="n">
        <v>201203</v>
      </c>
      <c r="L202" s="66" t="n">
        <v>250</v>
      </c>
      <c r="M202" s="51"/>
    </row>
    <row r="203" customFormat="false" ht="17.25" hidden="false" customHeight="true" outlineLevel="0" collapsed="false">
      <c r="A203" s="29" t="s">
        <v>46</v>
      </c>
      <c r="B203" s="29"/>
      <c r="C203" s="29"/>
      <c r="D203" s="29"/>
      <c r="E203" s="30"/>
      <c r="F203" s="31" t="n">
        <f aca="false">SUM(F168:F202)</f>
        <v>235.58</v>
      </c>
      <c r="G203" s="31" t="n">
        <f aca="false">SUM(G168:G202)</f>
        <v>3455.89</v>
      </c>
      <c r="H203" s="31" t="n">
        <f aca="false">SUM(H168:H202)</f>
        <v>554.88</v>
      </c>
      <c r="I203" s="31"/>
      <c r="J203" s="32" t="n">
        <f aca="false">SUM(J168:J202)</f>
        <v>4246.35</v>
      </c>
      <c r="K203" s="33" t="n">
        <f aca="false">SUM(K168:K202)</f>
        <v>2908848</v>
      </c>
      <c r="L203" s="33" t="n">
        <f aca="false">SUM(L168:L202)</f>
        <v>3768</v>
      </c>
      <c r="M203" s="34"/>
      <c r="N203" s="2" t="n">
        <v>1110</v>
      </c>
    </row>
    <row r="204" s="84" customFormat="true" ht="17.25" hidden="false" customHeight="true" outlineLevel="0" collapsed="false">
      <c r="A204" s="23" t="s">
        <v>221</v>
      </c>
      <c r="B204" s="79" t="s">
        <v>222</v>
      </c>
      <c r="C204" s="24" t="n">
        <v>191</v>
      </c>
      <c r="D204" s="17" t="s">
        <v>223</v>
      </c>
      <c r="E204" s="25" t="s">
        <v>16</v>
      </c>
      <c r="F204" s="80" t="n">
        <v>10.51</v>
      </c>
      <c r="G204" s="80" t="n">
        <v>25.24</v>
      </c>
      <c r="H204" s="80" t="n">
        <v>14.19</v>
      </c>
      <c r="I204" s="81"/>
      <c r="J204" s="65" t="n">
        <f aca="false">SUM(F204:H204)</f>
        <v>49.94</v>
      </c>
      <c r="K204" s="76" t="n">
        <v>14121</v>
      </c>
      <c r="L204" s="76" t="n">
        <v>339</v>
      </c>
      <c r="M204" s="82"/>
      <c r="N204" s="83" t="n">
        <v>429374</v>
      </c>
    </row>
    <row r="205" s="84" customFormat="true" ht="17.25" hidden="false" customHeight="true" outlineLevel="0" collapsed="false">
      <c r="A205" s="23"/>
      <c r="B205" s="85"/>
      <c r="C205" s="24" t="n">
        <v>192</v>
      </c>
      <c r="D205" s="17" t="s">
        <v>224</v>
      </c>
      <c r="E205" s="25" t="s">
        <v>16</v>
      </c>
      <c r="F205" s="80" t="n">
        <v>82.69</v>
      </c>
      <c r="G205" s="80" t="n">
        <v>436.46</v>
      </c>
      <c r="H205" s="80" t="n">
        <v>20.41</v>
      </c>
      <c r="I205" s="81"/>
      <c r="J205" s="65" t="n">
        <f aca="false">SUM(F205:H205)</f>
        <v>539.56</v>
      </c>
      <c r="K205" s="76" t="n">
        <v>251986</v>
      </c>
      <c r="L205" s="76" t="n">
        <v>143</v>
      </c>
      <c r="M205" s="82"/>
      <c r="N205" s="86" t="n">
        <f aca="false">N204+N203</f>
        <v>430484</v>
      </c>
    </row>
    <row r="206" s="84" customFormat="true" ht="17.25" hidden="false" customHeight="true" outlineLevel="0" collapsed="false">
      <c r="A206" s="23"/>
      <c r="B206" s="85"/>
      <c r="C206" s="24" t="n">
        <v>193</v>
      </c>
      <c r="D206" s="17" t="s">
        <v>222</v>
      </c>
      <c r="E206" s="25" t="s">
        <v>16</v>
      </c>
      <c r="F206" s="80" t="n">
        <v>125.75</v>
      </c>
      <c r="G206" s="80" t="n">
        <v>138.56</v>
      </c>
      <c r="H206" s="80" t="n">
        <v>76.95</v>
      </c>
      <c r="I206" s="81"/>
      <c r="J206" s="65" t="n">
        <f aca="false">SUM(F206:H206)</f>
        <v>341.26</v>
      </c>
      <c r="K206" s="76" t="n">
        <v>93629</v>
      </c>
      <c r="L206" s="76" t="n">
        <v>184</v>
      </c>
      <c r="M206" s="82"/>
    </row>
    <row r="207" s="84" customFormat="true" ht="17.25" hidden="false" customHeight="true" outlineLevel="0" collapsed="false">
      <c r="A207" s="23"/>
      <c r="B207" s="85"/>
      <c r="C207" s="24" t="n">
        <v>194</v>
      </c>
      <c r="D207" s="17" t="s">
        <v>225</v>
      </c>
      <c r="E207" s="25" t="s">
        <v>16</v>
      </c>
      <c r="F207" s="80" t="n">
        <v>9.45</v>
      </c>
      <c r="G207" s="80" t="n">
        <v>311.79</v>
      </c>
      <c r="H207" s="80" t="n">
        <v>22.87</v>
      </c>
      <c r="I207" s="81"/>
      <c r="J207" s="65" t="n">
        <f aca="false">SUM(F207:H207)</f>
        <v>344.11</v>
      </c>
      <c r="K207" s="76" t="n">
        <v>226799</v>
      </c>
      <c r="L207" s="76" t="n">
        <v>97</v>
      </c>
      <c r="M207" s="82"/>
    </row>
    <row r="208" s="84" customFormat="true" ht="17.25" hidden="false" customHeight="true" outlineLevel="0" collapsed="false">
      <c r="A208" s="23"/>
      <c r="B208" s="85"/>
      <c r="C208" s="24" t="n">
        <v>195</v>
      </c>
      <c r="D208" s="17" t="s">
        <v>226</v>
      </c>
      <c r="E208" s="25" t="s">
        <v>16</v>
      </c>
      <c r="F208" s="80" t="n">
        <v>8.23</v>
      </c>
      <c r="G208" s="80" t="n">
        <v>24.41</v>
      </c>
      <c r="H208" s="80" t="n">
        <v>7.63</v>
      </c>
      <c r="I208" s="81"/>
      <c r="J208" s="65" t="n">
        <f aca="false">SUM(F208:H208)</f>
        <v>40.27</v>
      </c>
      <c r="K208" s="76" t="n">
        <v>17280</v>
      </c>
      <c r="L208" s="76" t="n">
        <v>24</v>
      </c>
      <c r="M208" s="82"/>
    </row>
    <row r="209" s="84" customFormat="true" ht="17.25" hidden="false" customHeight="true" outlineLevel="0" collapsed="false">
      <c r="A209" s="23"/>
      <c r="B209" s="85"/>
      <c r="C209" s="24" t="n">
        <v>196</v>
      </c>
      <c r="D209" s="17" t="s">
        <v>227</v>
      </c>
      <c r="E209" s="25" t="s">
        <v>16</v>
      </c>
      <c r="F209" s="80" t="n">
        <v>6.35</v>
      </c>
      <c r="G209" s="80" t="n">
        <v>36.17</v>
      </c>
      <c r="H209" s="80" t="n">
        <v>7.54</v>
      </c>
      <c r="I209" s="81"/>
      <c r="J209" s="65" t="n">
        <f aca="false">SUM(F209:H209)</f>
        <v>50.06</v>
      </c>
      <c r="K209" s="76" t="n">
        <v>15822</v>
      </c>
      <c r="L209" s="76" t="n">
        <v>35</v>
      </c>
      <c r="M209" s="82"/>
    </row>
    <row r="210" s="84" customFormat="true" ht="17.25" hidden="false" customHeight="true" outlineLevel="0" collapsed="false">
      <c r="A210" s="23"/>
      <c r="B210" s="85"/>
      <c r="C210" s="24" t="n">
        <v>197</v>
      </c>
      <c r="D210" s="17" t="s">
        <v>14</v>
      </c>
      <c r="E210" s="25" t="s">
        <v>16</v>
      </c>
      <c r="F210" s="80" t="n">
        <v>8.46</v>
      </c>
      <c r="G210" s="80" t="n">
        <v>39.4</v>
      </c>
      <c r="H210" s="80" t="n">
        <v>8.71</v>
      </c>
      <c r="I210" s="81"/>
      <c r="J210" s="65" t="n">
        <f aca="false">SUM(F210:H210)</f>
        <v>56.57</v>
      </c>
      <c r="K210" s="76" t="n">
        <v>34260</v>
      </c>
      <c r="L210" s="76" t="n">
        <v>95</v>
      </c>
      <c r="M210" s="82"/>
    </row>
    <row r="211" s="84" customFormat="true" ht="17.25" hidden="false" customHeight="true" outlineLevel="0" collapsed="false">
      <c r="A211" s="23"/>
      <c r="B211" s="85"/>
      <c r="C211" s="24" t="n">
        <v>198</v>
      </c>
      <c r="D211" s="17" t="s">
        <v>228</v>
      </c>
      <c r="E211" s="25" t="s">
        <v>16</v>
      </c>
      <c r="F211" s="80" t="n">
        <v>11.28</v>
      </c>
      <c r="G211" s="80" t="n">
        <v>99.48</v>
      </c>
      <c r="H211" s="80" t="n">
        <v>15.2</v>
      </c>
      <c r="I211" s="81"/>
      <c r="J211" s="65" t="n">
        <f aca="false">SUM(F211:H211)</f>
        <v>125.96</v>
      </c>
      <c r="K211" s="76" t="n">
        <v>65876</v>
      </c>
      <c r="L211" s="76" t="n">
        <v>94</v>
      </c>
      <c r="M211" s="82"/>
    </row>
    <row r="212" s="84" customFormat="true" ht="17.25" hidden="false" customHeight="true" outlineLevel="0" collapsed="false">
      <c r="A212" s="23"/>
      <c r="B212" s="85"/>
      <c r="C212" s="24" t="n">
        <v>199</v>
      </c>
      <c r="D212" s="17" t="s">
        <v>229</v>
      </c>
      <c r="E212" s="25" t="s">
        <v>16</v>
      </c>
      <c r="F212" s="80" t="n">
        <v>24.07</v>
      </c>
      <c r="G212" s="80" t="n">
        <v>299.87</v>
      </c>
      <c r="H212" s="80" t="n">
        <v>23.03</v>
      </c>
      <c r="I212" s="81"/>
      <c r="J212" s="65" t="n">
        <f aca="false">SUM(F212:H212)</f>
        <v>346.97</v>
      </c>
      <c r="K212" s="76" t="n">
        <v>125414</v>
      </c>
      <c r="L212" s="76" t="n">
        <v>378</v>
      </c>
      <c r="M212" s="82"/>
    </row>
    <row r="213" s="84" customFormat="true" ht="17.25" hidden="false" customHeight="true" outlineLevel="0" collapsed="false">
      <c r="A213" s="23"/>
      <c r="B213" s="85"/>
      <c r="C213" s="24" t="n">
        <v>200</v>
      </c>
      <c r="D213" s="17" t="s">
        <v>230</v>
      </c>
      <c r="E213" s="25" t="s">
        <v>16</v>
      </c>
      <c r="F213" s="80" t="n">
        <v>27.51</v>
      </c>
      <c r="G213" s="80" t="n">
        <v>762.23</v>
      </c>
      <c r="H213" s="80" t="n">
        <v>50.18</v>
      </c>
      <c r="I213" s="81"/>
      <c r="J213" s="65" t="n">
        <f aca="false">SUM(F213:H213)</f>
        <v>839.92</v>
      </c>
      <c r="K213" s="76" t="n">
        <v>573195</v>
      </c>
      <c r="L213" s="76" t="n">
        <v>173</v>
      </c>
      <c r="M213" s="82"/>
    </row>
    <row r="214" customFormat="false" ht="17.25" hidden="false" customHeight="true" outlineLevel="0" collapsed="false">
      <c r="A214" s="29" t="s">
        <v>46</v>
      </c>
      <c r="B214" s="29"/>
      <c r="C214" s="29"/>
      <c r="D214" s="29"/>
      <c r="E214" s="30"/>
      <c r="F214" s="31" t="n">
        <f aca="false">SUM(F204:F213)</f>
        <v>314.3</v>
      </c>
      <c r="G214" s="31" t="n">
        <f aca="false">SUM(G204:G213)</f>
        <v>2173.61</v>
      </c>
      <c r="H214" s="31" t="n">
        <f aca="false">SUM(H204:H213)</f>
        <v>246.71</v>
      </c>
      <c r="I214" s="31"/>
      <c r="J214" s="32" t="n">
        <f aca="false">SUM(J204:J213)</f>
        <v>2734.62</v>
      </c>
      <c r="K214" s="33" t="n">
        <f aca="false">SUM(K204:K213)</f>
        <v>1418382</v>
      </c>
      <c r="L214" s="33" t="n">
        <f aca="false">SUM(L204:L213)</f>
        <v>1562</v>
      </c>
      <c r="M214" s="34"/>
    </row>
    <row r="215" customFormat="false" ht="17.25" hidden="false" customHeight="true" outlineLevel="0" collapsed="false">
      <c r="A215" s="37" t="s">
        <v>231</v>
      </c>
      <c r="B215" s="38" t="s">
        <v>232</v>
      </c>
      <c r="C215" s="16" t="n">
        <v>201</v>
      </c>
      <c r="D215" s="59" t="s">
        <v>233</v>
      </c>
      <c r="E215" s="25" t="s">
        <v>16</v>
      </c>
      <c r="F215" s="27" t="n">
        <v>10.84</v>
      </c>
      <c r="G215" s="27" t="n">
        <v>441.56</v>
      </c>
      <c r="H215" s="27" t="n">
        <v>50.13</v>
      </c>
      <c r="I215" s="74"/>
      <c r="J215" s="27" t="n">
        <f aca="false">SUM(F215:H215)</f>
        <v>502.53</v>
      </c>
      <c r="K215" s="26" t="n">
        <v>260275</v>
      </c>
      <c r="L215" s="21" t="n">
        <v>162</v>
      </c>
      <c r="M215" s="51"/>
    </row>
    <row r="216" customFormat="false" ht="17.25" hidden="false" customHeight="true" outlineLevel="0" collapsed="false">
      <c r="A216" s="37"/>
      <c r="B216" s="44"/>
      <c r="C216" s="16" t="n">
        <v>202</v>
      </c>
      <c r="D216" s="59" t="s">
        <v>234</v>
      </c>
      <c r="E216" s="25" t="s">
        <v>16</v>
      </c>
      <c r="F216" s="27" t="n">
        <v>51.57</v>
      </c>
      <c r="G216" s="27" t="n">
        <v>209.19</v>
      </c>
      <c r="H216" s="27" t="n">
        <v>14.12</v>
      </c>
      <c r="I216" s="74"/>
      <c r="J216" s="27" t="n">
        <f aca="false">SUM(F216:H216)</f>
        <v>274.88</v>
      </c>
      <c r="K216" s="26" t="n">
        <v>122391</v>
      </c>
      <c r="L216" s="87" t="n">
        <v>110</v>
      </c>
      <c r="M216" s="88"/>
    </row>
    <row r="217" customFormat="false" ht="17.25" hidden="false" customHeight="true" outlineLevel="0" collapsed="false">
      <c r="A217" s="37"/>
      <c r="B217" s="44"/>
      <c r="C217" s="16" t="n">
        <v>203</v>
      </c>
      <c r="D217" s="59" t="s">
        <v>235</v>
      </c>
      <c r="E217" s="25" t="s">
        <v>16</v>
      </c>
      <c r="F217" s="27" t="n">
        <v>10.13</v>
      </c>
      <c r="G217" s="27" t="n">
        <v>31.39</v>
      </c>
      <c r="H217" s="27" t="n">
        <v>11.42</v>
      </c>
      <c r="I217" s="74"/>
      <c r="J217" s="27" t="n">
        <f aca="false">SUM(F217:H217)</f>
        <v>52.94</v>
      </c>
      <c r="K217" s="26" t="n">
        <v>19383</v>
      </c>
      <c r="L217" s="87" t="n">
        <v>32</v>
      </c>
      <c r="M217" s="88"/>
    </row>
    <row r="218" customFormat="false" ht="17.25" hidden="false" customHeight="true" outlineLevel="0" collapsed="false">
      <c r="A218" s="37"/>
      <c r="B218" s="44"/>
      <c r="C218" s="16" t="n">
        <v>204</v>
      </c>
      <c r="D218" s="59" t="s">
        <v>236</v>
      </c>
      <c r="E218" s="25" t="s">
        <v>16</v>
      </c>
      <c r="F218" s="27" t="n">
        <v>0</v>
      </c>
      <c r="G218" s="27" t="n">
        <v>46.5</v>
      </c>
      <c r="H218" s="27" t="n">
        <v>20.81</v>
      </c>
      <c r="I218" s="74"/>
      <c r="J218" s="27" t="n">
        <f aca="false">SUM(F218:H218)</f>
        <v>67.31</v>
      </c>
      <c r="K218" s="26" t="n">
        <v>28309</v>
      </c>
      <c r="L218" s="87" t="n">
        <v>167</v>
      </c>
      <c r="M218" s="88"/>
    </row>
    <row r="219" customFormat="false" ht="17.25" hidden="false" customHeight="true" outlineLevel="0" collapsed="false">
      <c r="A219" s="37"/>
      <c r="B219" s="44"/>
      <c r="C219" s="16" t="n">
        <v>205</v>
      </c>
      <c r="D219" s="59" t="s">
        <v>237</v>
      </c>
      <c r="E219" s="25" t="s">
        <v>16</v>
      </c>
      <c r="F219" s="27" t="n">
        <v>10.81</v>
      </c>
      <c r="G219" s="27" t="n">
        <v>163.09</v>
      </c>
      <c r="H219" s="27" t="n">
        <v>50.12</v>
      </c>
      <c r="I219" s="74"/>
      <c r="J219" s="27" t="n">
        <f aca="false">SUM(F219:H219)</f>
        <v>224.02</v>
      </c>
      <c r="K219" s="75" t="n">
        <v>115921</v>
      </c>
      <c r="L219" s="21" t="n">
        <v>85</v>
      </c>
      <c r="M219" s="88"/>
    </row>
    <row r="220" customFormat="false" ht="17.25" hidden="false" customHeight="true" outlineLevel="0" collapsed="false">
      <c r="A220" s="37"/>
      <c r="B220" s="44"/>
      <c r="C220" s="16" t="n">
        <v>206</v>
      </c>
      <c r="D220" s="59" t="s">
        <v>238</v>
      </c>
      <c r="E220" s="25" t="s">
        <v>16</v>
      </c>
      <c r="F220" s="27" t="n">
        <v>54.42</v>
      </c>
      <c r="G220" s="27" t="n">
        <v>471.34</v>
      </c>
      <c r="H220" s="27" t="n">
        <v>57.51</v>
      </c>
      <c r="I220" s="74"/>
      <c r="J220" s="27" t="n">
        <f aca="false">SUM(F220:H220)</f>
        <v>583.27</v>
      </c>
      <c r="K220" s="75" t="n">
        <v>379189</v>
      </c>
      <c r="L220" s="21" t="n">
        <v>64</v>
      </c>
      <c r="M220" s="88"/>
    </row>
    <row r="221" customFormat="false" ht="17.25" hidden="false" customHeight="true" outlineLevel="0" collapsed="false">
      <c r="A221" s="37"/>
      <c r="B221" s="44"/>
      <c r="C221" s="16" t="n">
        <v>207</v>
      </c>
      <c r="D221" s="59" t="s">
        <v>239</v>
      </c>
      <c r="E221" s="25" t="s">
        <v>16</v>
      </c>
      <c r="F221" s="27" t="n">
        <v>0</v>
      </c>
      <c r="G221" s="27" t="n">
        <v>39.37</v>
      </c>
      <c r="H221" s="27" t="n">
        <v>21.64</v>
      </c>
      <c r="I221" s="74"/>
      <c r="J221" s="27" t="n">
        <f aca="false">SUM(F221:H221)</f>
        <v>61.01</v>
      </c>
      <c r="K221" s="75" t="n">
        <v>23914</v>
      </c>
      <c r="L221" s="21" t="n">
        <v>40</v>
      </c>
      <c r="M221" s="88"/>
    </row>
    <row r="222" customFormat="false" ht="17.25" hidden="false" customHeight="true" outlineLevel="0" collapsed="false">
      <c r="A222" s="37"/>
      <c r="B222" s="44"/>
      <c r="C222" s="16" t="n">
        <v>208</v>
      </c>
      <c r="D222" s="59" t="s">
        <v>240</v>
      </c>
      <c r="E222" s="25" t="s">
        <v>16</v>
      </c>
      <c r="F222" s="27" t="n">
        <v>0</v>
      </c>
      <c r="G222" s="27" t="n">
        <v>196.15</v>
      </c>
      <c r="H222" s="27" t="n">
        <v>29.34</v>
      </c>
      <c r="I222" s="74"/>
      <c r="J222" s="27" t="n">
        <f aca="false">SUM(F222:H222)</f>
        <v>225.49</v>
      </c>
      <c r="K222" s="75" t="n">
        <v>118427</v>
      </c>
      <c r="L222" s="21" t="n">
        <v>120</v>
      </c>
      <c r="M222" s="88"/>
    </row>
    <row r="223" customFormat="false" ht="17.25" hidden="false" customHeight="true" outlineLevel="0" collapsed="false">
      <c r="A223" s="37"/>
      <c r="B223" s="44"/>
      <c r="C223" s="16" t="n">
        <v>209</v>
      </c>
      <c r="D223" s="59" t="s">
        <v>241</v>
      </c>
      <c r="E223" s="25" t="s">
        <v>16</v>
      </c>
      <c r="F223" s="27" t="n">
        <v>17.26</v>
      </c>
      <c r="G223" s="27" t="n">
        <v>363.07</v>
      </c>
      <c r="H223" s="27" t="n">
        <v>82.58</v>
      </c>
      <c r="I223" s="74"/>
      <c r="J223" s="27" t="n">
        <f aca="false">SUM(F223:H223)</f>
        <v>462.91</v>
      </c>
      <c r="K223" s="75" t="n">
        <v>241534</v>
      </c>
      <c r="L223" s="21" t="n">
        <v>159</v>
      </c>
      <c r="M223" s="88"/>
    </row>
    <row r="224" customFormat="false" ht="17.25" hidden="false" customHeight="true" outlineLevel="0" collapsed="false">
      <c r="A224" s="37"/>
      <c r="B224" s="44"/>
      <c r="C224" s="16" t="n">
        <v>210</v>
      </c>
      <c r="D224" s="59" t="s">
        <v>242</v>
      </c>
      <c r="E224" s="25" t="s">
        <v>16</v>
      </c>
      <c r="F224" s="27" t="n">
        <v>10.19</v>
      </c>
      <c r="G224" s="27" t="n">
        <v>24.95</v>
      </c>
      <c r="H224" s="27" t="n">
        <v>21.13</v>
      </c>
      <c r="I224" s="74"/>
      <c r="J224" s="27" t="n">
        <f aca="false">SUM(F224:H224)</f>
        <v>56.27</v>
      </c>
      <c r="K224" s="75" t="n">
        <v>14782</v>
      </c>
      <c r="L224" s="21" t="n">
        <v>28</v>
      </c>
      <c r="M224" s="88"/>
    </row>
    <row r="225" customFormat="false" ht="17.25" hidden="false" customHeight="true" outlineLevel="0" collapsed="false">
      <c r="A225" s="37"/>
      <c r="B225" s="44"/>
      <c r="C225" s="16" t="n">
        <v>211</v>
      </c>
      <c r="D225" s="17" t="s">
        <v>243</v>
      </c>
      <c r="E225" s="25" t="s">
        <v>16</v>
      </c>
      <c r="F225" s="19" t="n">
        <v>0</v>
      </c>
      <c r="G225" s="19" t="n">
        <v>164.68</v>
      </c>
      <c r="H225" s="19" t="n">
        <v>18.96</v>
      </c>
      <c r="I225" s="40"/>
      <c r="J225" s="27" t="n">
        <f aca="false">SUM(F225:H225)</f>
        <v>183.64</v>
      </c>
      <c r="K225" s="66" t="n">
        <v>129827</v>
      </c>
      <c r="L225" s="21" t="n">
        <v>78</v>
      </c>
      <c r="M225" s="88"/>
    </row>
    <row r="226" customFormat="false" ht="17.25" hidden="false" customHeight="true" outlineLevel="0" collapsed="false">
      <c r="A226" s="37"/>
      <c r="B226" s="44"/>
      <c r="C226" s="16" t="n">
        <v>212</v>
      </c>
      <c r="D226" s="17" t="s">
        <v>244</v>
      </c>
      <c r="E226" s="25" t="s">
        <v>16</v>
      </c>
      <c r="F226" s="19" t="n">
        <v>43.54</v>
      </c>
      <c r="G226" s="19" t="n">
        <v>376.28</v>
      </c>
      <c r="H226" s="19" t="n">
        <v>96.71</v>
      </c>
      <c r="I226" s="40"/>
      <c r="J226" s="27" t="n">
        <f aca="false">SUM(F226:H226)</f>
        <v>516.53</v>
      </c>
      <c r="K226" s="66" t="n">
        <v>260326</v>
      </c>
      <c r="L226" s="21" t="n">
        <v>278</v>
      </c>
      <c r="M226" s="88"/>
    </row>
    <row r="227" customFormat="false" ht="17.25" hidden="false" customHeight="true" outlineLevel="0" collapsed="false">
      <c r="A227" s="37"/>
      <c r="B227" s="44"/>
      <c r="C227" s="16" t="n">
        <v>213</v>
      </c>
      <c r="D227" s="17" t="s">
        <v>245</v>
      </c>
      <c r="E227" s="25" t="s">
        <v>16</v>
      </c>
      <c r="F227" s="19" t="n">
        <v>55.74</v>
      </c>
      <c r="G227" s="19" t="n">
        <v>79.77</v>
      </c>
      <c r="H227" s="19" t="n">
        <v>23.66</v>
      </c>
      <c r="I227" s="40"/>
      <c r="J227" s="27" t="n">
        <f aca="false">SUM(F227:H227)</f>
        <v>159.17</v>
      </c>
      <c r="K227" s="66" t="n">
        <v>48294</v>
      </c>
      <c r="L227" s="21" t="n">
        <v>108</v>
      </c>
      <c r="M227" s="88"/>
    </row>
    <row r="228" customFormat="false" ht="17.25" hidden="false" customHeight="true" outlineLevel="0" collapsed="false">
      <c r="A228" s="37"/>
      <c r="B228" s="44"/>
      <c r="C228" s="16" t="n">
        <v>214</v>
      </c>
      <c r="D228" s="17" t="s">
        <v>246</v>
      </c>
      <c r="E228" s="25" t="s">
        <v>16</v>
      </c>
      <c r="F228" s="19" t="n">
        <v>22.58</v>
      </c>
      <c r="G228" s="19" t="n">
        <v>233.46</v>
      </c>
      <c r="H228" s="19" t="n">
        <v>53.73</v>
      </c>
      <c r="I228" s="40"/>
      <c r="J228" s="27" t="n">
        <f aca="false">SUM(F228:H228)</f>
        <v>309.77</v>
      </c>
      <c r="K228" s="66" t="n">
        <v>177984</v>
      </c>
      <c r="L228" s="21" t="n">
        <v>92</v>
      </c>
      <c r="M228" s="88"/>
    </row>
    <row r="229" customFormat="false" ht="17.25" hidden="false" customHeight="true" outlineLevel="0" collapsed="false">
      <c r="A229" s="37"/>
      <c r="B229" s="44"/>
      <c r="C229" s="16" t="n">
        <v>215</v>
      </c>
      <c r="D229" s="17" t="s">
        <v>247</v>
      </c>
      <c r="E229" s="25" t="s">
        <v>16</v>
      </c>
      <c r="F229" s="19" t="n">
        <v>154.68</v>
      </c>
      <c r="G229" s="19" t="n">
        <v>389.7</v>
      </c>
      <c r="H229" s="19" t="n">
        <v>48.74</v>
      </c>
      <c r="I229" s="40"/>
      <c r="J229" s="27" t="n">
        <f aca="false">SUM(F229:H229)</f>
        <v>593.12</v>
      </c>
      <c r="K229" s="66" t="n">
        <v>414576</v>
      </c>
      <c r="L229" s="21" t="n">
        <v>129</v>
      </c>
      <c r="M229" s="88"/>
    </row>
    <row r="230" customFormat="false" ht="17.25" hidden="false" customHeight="true" outlineLevel="0" collapsed="false">
      <c r="A230" s="37"/>
      <c r="B230" s="44"/>
      <c r="C230" s="16" t="n">
        <v>216</v>
      </c>
      <c r="D230" s="17" t="s">
        <v>248</v>
      </c>
      <c r="E230" s="25" t="s">
        <v>16</v>
      </c>
      <c r="F230" s="19" t="n">
        <v>52.63</v>
      </c>
      <c r="G230" s="19" t="n">
        <v>291.3</v>
      </c>
      <c r="H230" s="19" t="n">
        <v>23.75</v>
      </c>
      <c r="I230" s="40"/>
      <c r="J230" s="27" t="n">
        <f aca="false">SUM(F230:H230)</f>
        <v>367.68</v>
      </c>
      <c r="K230" s="66" t="n">
        <v>316358</v>
      </c>
      <c r="L230" s="21" t="n">
        <v>107</v>
      </c>
      <c r="M230" s="88"/>
    </row>
    <row r="231" customFormat="false" ht="17.25" hidden="false" customHeight="true" outlineLevel="0" collapsed="false">
      <c r="A231" s="37"/>
      <c r="B231" s="44"/>
      <c r="C231" s="16" t="n">
        <v>217</v>
      </c>
      <c r="D231" s="17" t="s">
        <v>249</v>
      </c>
      <c r="E231" s="25" t="s">
        <v>16</v>
      </c>
      <c r="F231" s="19" t="n">
        <v>9.17</v>
      </c>
      <c r="G231" s="19" t="n">
        <v>279.02</v>
      </c>
      <c r="H231" s="19" t="n">
        <v>86.76</v>
      </c>
      <c r="I231" s="40"/>
      <c r="J231" s="27" t="n">
        <f aca="false">SUM(F231:H231)</f>
        <v>374.95</v>
      </c>
      <c r="K231" s="66" t="n">
        <v>221456</v>
      </c>
      <c r="L231" s="21" t="n">
        <v>55</v>
      </c>
      <c r="M231" s="88"/>
    </row>
    <row r="232" customFormat="false" ht="17.25" hidden="false" customHeight="true" outlineLevel="0" collapsed="false">
      <c r="A232" s="37"/>
      <c r="B232" s="44"/>
      <c r="C232" s="16" t="n">
        <v>218</v>
      </c>
      <c r="D232" s="17" t="s">
        <v>250</v>
      </c>
      <c r="E232" s="25" t="s">
        <v>16</v>
      </c>
      <c r="F232" s="19" t="n">
        <v>106.69</v>
      </c>
      <c r="G232" s="19" t="n">
        <v>241.54</v>
      </c>
      <c r="H232" s="19" t="n">
        <v>28.77</v>
      </c>
      <c r="I232" s="40"/>
      <c r="J232" s="27" t="n">
        <f aca="false">SUM(F232:H232)</f>
        <v>377</v>
      </c>
      <c r="K232" s="66" t="n">
        <v>228207</v>
      </c>
      <c r="L232" s="21" t="n">
        <v>218</v>
      </c>
      <c r="M232" s="88"/>
    </row>
    <row r="233" customFormat="false" ht="17.25" hidden="false" customHeight="true" outlineLevel="0" collapsed="false">
      <c r="A233" s="37"/>
      <c r="B233" s="44"/>
      <c r="C233" s="16" t="n">
        <v>219</v>
      </c>
      <c r="D233" s="17" t="s">
        <v>251</v>
      </c>
      <c r="E233" s="25" t="s">
        <v>16</v>
      </c>
      <c r="F233" s="19" t="n">
        <v>30.25</v>
      </c>
      <c r="G233" s="19" t="n">
        <v>64.62</v>
      </c>
      <c r="H233" s="19" t="n">
        <v>11.29</v>
      </c>
      <c r="I233" s="40"/>
      <c r="J233" s="27" t="n">
        <f aca="false">SUM(F233:H233)</f>
        <v>106.16</v>
      </c>
      <c r="K233" s="66" t="n">
        <v>43171</v>
      </c>
      <c r="L233" s="21" t="n">
        <v>98</v>
      </c>
      <c r="M233" s="88"/>
    </row>
    <row r="234" customFormat="false" ht="17.25" hidden="false" customHeight="true" outlineLevel="0" collapsed="false">
      <c r="A234" s="37"/>
      <c r="B234" s="44"/>
      <c r="C234" s="16" t="n">
        <v>220</v>
      </c>
      <c r="D234" s="17" t="s">
        <v>252</v>
      </c>
      <c r="E234" s="25" t="s">
        <v>16</v>
      </c>
      <c r="F234" s="19" t="n">
        <v>32.28</v>
      </c>
      <c r="G234" s="19" t="n">
        <v>235.07</v>
      </c>
      <c r="H234" s="19" t="n">
        <v>24.17</v>
      </c>
      <c r="I234" s="40"/>
      <c r="J234" s="27" t="n">
        <f aca="false">SUM(F234:H234)</f>
        <v>291.52</v>
      </c>
      <c r="K234" s="66" t="n">
        <v>209320</v>
      </c>
      <c r="L234" s="21" t="n">
        <v>130</v>
      </c>
      <c r="M234" s="88"/>
    </row>
    <row r="235" customFormat="false" ht="17.25" hidden="false" customHeight="true" outlineLevel="0" collapsed="false">
      <c r="A235" s="29" t="s">
        <v>46</v>
      </c>
      <c r="B235" s="29"/>
      <c r="C235" s="29"/>
      <c r="D235" s="29"/>
      <c r="E235" s="30"/>
      <c r="F235" s="31" t="n">
        <f aca="false">SUM(F215:F234)</f>
        <v>672.78</v>
      </c>
      <c r="G235" s="31" t="n">
        <f aca="false">SUM(G215:G234)</f>
        <v>4342.05</v>
      </c>
      <c r="H235" s="31" t="n">
        <f aca="false">SUM(H215:H234)</f>
        <v>775.34</v>
      </c>
      <c r="I235" s="31"/>
      <c r="J235" s="32" t="n">
        <f aca="false">SUM(J215:J234)</f>
        <v>5790.17</v>
      </c>
      <c r="K235" s="33" t="n">
        <f aca="false">SUM(K215:K234)</f>
        <v>3373644</v>
      </c>
      <c r="L235" s="33" t="n">
        <f aca="false">SUM(L215:L234)</f>
        <v>2260</v>
      </c>
      <c r="M235" s="34"/>
    </row>
    <row r="236" customFormat="false" ht="17.25" hidden="false" customHeight="true" outlineLevel="0" collapsed="false">
      <c r="A236" s="89" t="s">
        <v>253</v>
      </c>
      <c r="B236" s="89"/>
      <c r="C236" s="89"/>
      <c r="D236" s="89"/>
      <c r="E236" s="90"/>
      <c r="F236" s="91" t="n">
        <f aca="false">F235+F214+F203+F167+F154+F113+F107+F80+F64+F36</f>
        <v>3463.06</v>
      </c>
      <c r="G236" s="91" t="n">
        <f aca="false">G235+G214+G203+G167+G154+G113+G107+G80+G64+G36</f>
        <v>37641.61</v>
      </c>
      <c r="H236" s="91" t="n">
        <f aca="false">H235+H214+H203+H167+H154+H113+H107+H80+H64+H36</f>
        <v>4203.83</v>
      </c>
      <c r="I236" s="91"/>
      <c r="J236" s="91" t="n">
        <f aca="false">J235+J214+J203+J167+J154+J113+J107+J80+J64+J36</f>
        <v>45306.18</v>
      </c>
      <c r="K236" s="92" t="n">
        <f aca="false">K235+K214+K203+K167+K154+K113+K107+K80+K64+K36</f>
        <v>26403121</v>
      </c>
      <c r="L236" s="92" t="n">
        <f aca="false">L235+L214+L203+L167+L154+L113+L107+L80+L64+L36</f>
        <v>36191</v>
      </c>
      <c r="M236" s="93"/>
      <c r="N236" s="94" t="n">
        <f aca="false">K236/1000</f>
        <v>26403.121</v>
      </c>
    </row>
    <row r="237" customFormat="false" ht="15.75" hidden="false" customHeight="true" outlineLevel="0" collapsed="false">
      <c r="B237" s="95" t="s">
        <v>254</v>
      </c>
      <c r="C237" s="96" t="s">
        <v>255</v>
      </c>
      <c r="D237" s="96"/>
    </row>
    <row r="238" customFormat="false" ht="15.75" hidden="false" customHeight="true" outlineLevel="0" collapsed="false">
      <c r="K238" s="97" t="s">
        <v>256</v>
      </c>
    </row>
    <row r="239" customFormat="false" ht="15.75" hidden="false" customHeight="true" outlineLevel="0" collapsed="false">
      <c r="K239" s="97" t="s">
        <v>257</v>
      </c>
    </row>
    <row r="240" customFormat="false" ht="15.75" hidden="false" customHeight="true" outlineLevel="0" collapsed="false">
      <c r="D240" s="94" t="n">
        <f aca="false">K236/1000</f>
        <v>26403.121</v>
      </c>
      <c r="K240" s="97" t="s">
        <v>258</v>
      </c>
    </row>
    <row r="241" customFormat="false" ht="15.75" hidden="false" customHeight="true" outlineLevel="0" collapsed="false">
      <c r="K241" s="97"/>
      <c r="N241" s="35" t="n">
        <v>57000</v>
      </c>
    </row>
    <row r="242" customFormat="false" ht="15.75" hidden="false" customHeight="true" outlineLevel="0" collapsed="false">
      <c r="F242" s="94"/>
      <c r="K242" s="97"/>
      <c r="N242" s="36" t="n">
        <f aca="false">N241-J236</f>
        <v>11693.82</v>
      </c>
    </row>
    <row r="243" customFormat="false" ht="15.75" hidden="false" customHeight="true" outlineLevel="0" collapsed="false">
      <c r="K243" s="98" t="s">
        <v>259</v>
      </c>
      <c r="N243" s="2" t="n">
        <v>9</v>
      </c>
    </row>
    <row r="244" customFormat="false" ht="15.75" hidden="false" customHeight="true" outlineLevel="0" collapsed="false">
      <c r="K244" s="97" t="s">
        <v>260</v>
      </c>
      <c r="N244" s="36" t="n">
        <f aca="false">N242/N243</f>
        <v>1299.31333333333</v>
      </c>
    </row>
    <row r="245" customFormat="false" ht="15.75" hidden="false" customHeight="true" outlineLevel="0" collapsed="false">
      <c r="K245" s="97" t="s">
        <v>261</v>
      </c>
    </row>
    <row r="246" customFormat="false" ht="15.75" hidden="false" customHeight="true" outlineLevel="0" collapsed="false">
      <c r="K246" s="97" t="s">
        <v>262</v>
      </c>
    </row>
    <row r="247" customFormat="false" ht="15.75" hidden="false" customHeight="true" outlineLevel="0" collapsed="false">
      <c r="K247" s="97" t="s">
        <v>263</v>
      </c>
    </row>
  </sheetData>
  <mergeCells count="14">
    <mergeCell ref="A1:M2"/>
    <mergeCell ref="C4:D4"/>
    <mergeCell ref="C5:D5"/>
    <mergeCell ref="A36:D36"/>
    <mergeCell ref="A64:D64"/>
    <mergeCell ref="A80:D80"/>
    <mergeCell ref="A107:D107"/>
    <mergeCell ref="A113:D113"/>
    <mergeCell ref="A154:D154"/>
    <mergeCell ref="A167:D167"/>
    <mergeCell ref="A203:D203"/>
    <mergeCell ref="A214:D214"/>
    <mergeCell ref="A235:D235"/>
    <mergeCell ref="A236:D236"/>
  </mergeCells>
  <conditionalFormatting sqref="D156:D166">
    <cfRule type="duplicateValues" priority="2" aboveAverage="0" equalAverage="0" bottom="0" percent="0" rank="0" text="" dxfId="0"/>
  </conditionalFormatting>
  <conditionalFormatting sqref="D115:D153">
    <cfRule type="duplicateValues" priority="3" aboveAverage="0" equalAverage="0" bottom="0" percent="0" rank="0" text="" dxfId="1"/>
  </conditionalFormatting>
  <conditionalFormatting sqref="D82:D106">
    <cfRule type="duplicateValues" priority="4" aboveAverage="0" equalAverage="0" bottom="0" percent="0" rank="0" text="" dxfId="2"/>
  </conditionalFormatting>
  <conditionalFormatting sqref="D66:D79">
    <cfRule type="duplicateValues" priority="5" aboveAverage="0" equalAverage="0" bottom="0" percent="0" rank="0" text="" dxfId="3"/>
  </conditionalFormatting>
  <conditionalFormatting sqref="D7:D35">
    <cfRule type="duplicateValues" priority="6" aboveAverage="0" equalAverage="0" bottom="0" percent="0" rank="0" text="" dxfId="4"/>
  </conditionalFormatting>
  <printOptions headings="false" gridLines="false" gridLinesSet="true" horizontalCentered="true" verticalCentered="false"/>
  <pageMargins left="0.315277777777778" right="0.315277777777778" top="0.354166666666667" bottom="0.236111111111111" header="0.511811023622047" footer="0.511811023622047"/>
  <pageSetup paperSize="9" scale="7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2026-03-31T04:23:39Z</dcterms:created>
  <dc:creator>BIDANG PERKEBUNAN</dc:creator>
  <dc:description/>
  <dc:language>en-US</dc:language>
  <cp:lastModifiedBy/>
  <dcterms:modified xsi:type="dcterms:W3CDTF">2026-04-26T10:52:41Z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