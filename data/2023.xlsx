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Storage\09_Kiki\code\data\"/>
    </mc:Choice>
  </mc:AlternateContent>
  <xr:revisionPtr revIDLastSave="0" documentId="13_ncr:1_{E29B83D6-278C-4CB2-B609-A71ECFAF70A0}" xr6:coauthVersionLast="47" xr6:coauthVersionMax="47" xr10:uidLastSave="{00000000-0000-0000-0000-000000000000}"/>
  <bookViews>
    <workbookView xWindow="2340" yWindow="2340" windowWidth="21600" windowHeight="11715" tabRatio="500" xr2:uid="{00000000-000D-0000-FFFF-FFFF00000000}"/>
  </bookViews>
  <sheets>
    <sheet name="ARABIKA (3)" sheetId="1" r:id="rId1"/>
  </sheets>
  <definedNames>
    <definedName name="_xlnm.Print_Area" localSheetId="0">'ARABIKA (3)'!$A$1:$M$253</definedName>
    <definedName name="_xlnm.Print_Titles" localSheetId="0">'ARABIKA (3)'!$4:$5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35" i="1" l="1"/>
  <c r="L236" i="1" s="1"/>
  <c r="K235" i="1"/>
  <c r="K236" i="1" s="1"/>
  <c r="H235" i="1"/>
  <c r="G235" i="1"/>
  <c r="F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35" i="1" s="1"/>
  <c r="L214" i="1"/>
  <c r="K214" i="1"/>
  <c r="H214" i="1"/>
  <c r="H236" i="1" s="1"/>
  <c r="G214" i="1"/>
  <c r="G236" i="1" s="1"/>
  <c r="F214" i="1"/>
  <c r="F236" i="1" s="1"/>
  <c r="J213" i="1"/>
  <c r="J212" i="1"/>
  <c r="J211" i="1"/>
  <c r="J210" i="1"/>
  <c r="J209" i="1"/>
  <c r="J208" i="1"/>
  <c r="J207" i="1"/>
  <c r="J206" i="1"/>
  <c r="N205" i="1"/>
  <c r="J205" i="1"/>
  <c r="J214" i="1" s="1"/>
  <c r="J204" i="1"/>
  <c r="L203" i="1"/>
  <c r="K203" i="1"/>
  <c r="H203" i="1"/>
  <c r="G203" i="1"/>
  <c r="F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203" i="1" s="1"/>
  <c r="L167" i="1"/>
  <c r="K167" i="1"/>
  <c r="H167" i="1"/>
  <c r="G167" i="1"/>
  <c r="F167" i="1"/>
  <c r="J166" i="1"/>
  <c r="J165" i="1"/>
  <c r="J164" i="1"/>
  <c r="J163" i="1"/>
  <c r="J162" i="1"/>
  <c r="J161" i="1"/>
  <c r="J167" i="1" s="1"/>
  <c r="N168" i="1" s="1"/>
  <c r="N169" i="1" s="1"/>
  <c r="J160" i="1"/>
  <c r="J159" i="1"/>
  <c r="J158" i="1"/>
  <c r="J157" i="1"/>
  <c r="J156" i="1"/>
  <c r="J155" i="1"/>
  <c r="L154" i="1"/>
  <c r="K154" i="1"/>
  <c r="H154" i="1"/>
  <c r="G154" i="1"/>
  <c r="F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54" i="1" s="1"/>
  <c r="L113" i="1"/>
  <c r="K113" i="1"/>
  <c r="J113" i="1"/>
  <c r="G113" i="1"/>
  <c r="F113" i="1"/>
  <c r="J112" i="1"/>
  <c r="J111" i="1"/>
  <c r="J110" i="1"/>
  <c r="J109" i="1"/>
  <c r="J108" i="1"/>
  <c r="L107" i="1"/>
  <c r="K107" i="1"/>
  <c r="H107" i="1"/>
  <c r="G107" i="1"/>
  <c r="F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107" i="1" s="1"/>
  <c r="L80" i="1"/>
  <c r="K80" i="1"/>
  <c r="H80" i="1"/>
  <c r="G80" i="1"/>
  <c r="F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80" i="1" s="1"/>
  <c r="L64" i="1"/>
  <c r="K64" i="1"/>
  <c r="H64" i="1"/>
  <c r="G64" i="1"/>
  <c r="F64" i="1"/>
  <c r="N63" i="1"/>
  <c r="J63" i="1"/>
  <c r="I63" i="1"/>
  <c r="N62" i="1"/>
  <c r="J62" i="1"/>
  <c r="I62" i="1"/>
  <c r="N61" i="1"/>
  <c r="J61" i="1"/>
  <c r="I61" i="1"/>
  <c r="N60" i="1"/>
  <c r="J60" i="1"/>
  <c r="I60" i="1"/>
  <c r="N59" i="1"/>
  <c r="J59" i="1"/>
  <c r="I59" i="1"/>
  <c r="N58" i="1"/>
  <c r="J58" i="1"/>
  <c r="I58" i="1"/>
  <c r="N57" i="1"/>
  <c r="J57" i="1"/>
  <c r="I57" i="1"/>
  <c r="N56" i="1"/>
  <c r="J56" i="1"/>
  <c r="I56" i="1"/>
  <c r="N55" i="1"/>
  <c r="J55" i="1"/>
  <c r="I55" i="1"/>
  <c r="N54" i="1"/>
  <c r="J54" i="1"/>
  <c r="I54" i="1"/>
  <c r="N53" i="1"/>
  <c r="J53" i="1"/>
  <c r="I53" i="1"/>
  <c r="N52" i="1"/>
  <c r="J52" i="1"/>
  <c r="I52" i="1"/>
  <c r="N51" i="1"/>
  <c r="J51" i="1"/>
  <c r="I51" i="1"/>
  <c r="N50" i="1"/>
  <c r="J50" i="1"/>
  <c r="I50" i="1"/>
  <c r="N49" i="1"/>
  <c r="J49" i="1"/>
  <c r="I49" i="1"/>
  <c r="N48" i="1"/>
  <c r="J48" i="1"/>
  <c r="I48" i="1"/>
  <c r="N47" i="1"/>
  <c r="J47" i="1"/>
  <c r="I47" i="1"/>
  <c r="N46" i="1"/>
  <c r="J46" i="1"/>
  <c r="I46" i="1"/>
  <c r="N45" i="1"/>
  <c r="J45" i="1"/>
  <c r="I45" i="1"/>
  <c r="N44" i="1"/>
  <c r="J44" i="1"/>
  <c r="I44" i="1"/>
  <c r="N43" i="1"/>
  <c r="J43" i="1"/>
  <c r="I43" i="1"/>
  <c r="N42" i="1"/>
  <c r="J42" i="1"/>
  <c r="I42" i="1"/>
  <c r="N41" i="1"/>
  <c r="J41" i="1"/>
  <c r="I41" i="1"/>
  <c r="N40" i="1"/>
  <c r="J40" i="1"/>
  <c r="I40" i="1"/>
  <c r="N39" i="1"/>
  <c r="J39" i="1"/>
  <c r="I39" i="1"/>
  <c r="N38" i="1"/>
  <c r="J38" i="1"/>
  <c r="J64" i="1" s="1"/>
  <c r="I38" i="1"/>
  <c r="N37" i="1"/>
  <c r="J37" i="1"/>
  <c r="I37" i="1"/>
  <c r="L36" i="1"/>
  <c r="K36" i="1"/>
  <c r="H36" i="1"/>
  <c r="G36" i="1"/>
  <c r="F36" i="1"/>
  <c r="J35" i="1"/>
  <c r="J34" i="1"/>
  <c r="J33" i="1"/>
  <c r="J32" i="1"/>
  <c r="J31" i="1"/>
  <c r="J30" i="1"/>
  <c r="J29" i="1"/>
  <c r="J28" i="1"/>
  <c r="J27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36" i="1" s="1"/>
  <c r="D240" i="1" l="1"/>
  <c r="N236" i="1"/>
  <c r="J236" i="1"/>
  <c r="N242" i="1" s="1"/>
  <c r="N244" i="1" s="1"/>
</calcChain>
</file>

<file path=xl/sharedStrings.xml><?xml version="1.0" encoding="utf-8"?>
<sst xmlns="http://schemas.openxmlformats.org/spreadsheetml/2006/main" count="502" uniqueCount="264">
  <si>
    <t xml:space="preserve">LAPORAN LUAS LAHAN PERKEBUNAN </t>
  </si>
  <si>
    <t>No</t>
  </si>
  <si>
    <t xml:space="preserve">Kecamatan </t>
  </si>
  <si>
    <t>Desa</t>
  </si>
  <si>
    <t>Komoditi</t>
  </si>
  <si>
    <t>TBM (Ha)</t>
  </si>
  <si>
    <t>TM (Ha)</t>
  </si>
  <si>
    <t>TTR (Ha)</t>
  </si>
  <si>
    <t>Penambahan15 %</t>
  </si>
  <si>
    <t>Total Luas Lahan (Ha)</t>
  </si>
  <si>
    <t>Produksi (Kg)</t>
  </si>
  <si>
    <t>Jumlah Petani (KK)</t>
  </si>
  <si>
    <t>Keterangan</t>
  </si>
  <si>
    <t>I.</t>
  </si>
  <si>
    <t>Timang Gajah</t>
  </si>
  <si>
    <t>Kenine</t>
  </si>
  <si>
    <t>Kopi Arabika</t>
  </si>
  <si>
    <t>Fajar Harapan</t>
  </si>
  <si>
    <t>Damaran Baru</t>
  </si>
  <si>
    <t>Pantan Pediangan</t>
  </si>
  <si>
    <t>Bandar Lampahan</t>
  </si>
  <si>
    <t>Rembune</t>
  </si>
  <si>
    <t>Mude Benara</t>
  </si>
  <si>
    <t>Bumi Ayu</t>
  </si>
  <si>
    <t>Karang Jadi</t>
  </si>
  <si>
    <t>Kampung Baru 76</t>
  </si>
  <si>
    <t>Lampahan Timur</t>
  </si>
  <si>
    <t>Lampahan</t>
  </si>
  <si>
    <t>Bukit Mulie</t>
  </si>
  <si>
    <t>Suka Damai</t>
  </si>
  <si>
    <t>Sumber Jaya</t>
  </si>
  <si>
    <t>Lampahan Barat</t>
  </si>
  <si>
    <t>Mekar Ayu</t>
  </si>
  <si>
    <t>Datu Beru</t>
  </si>
  <si>
    <t>Timang Rasa</t>
  </si>
  <si>
    <t>Kulem Parakanis</t>
  </si>
  <si>
    <t>Linung Bale</t>
  </si>
  <si>
    <t>Gunung Tunyang</t>
  </si>
  <si>
    <t>Bukit Tunyang</t>
  </si>
  <si>
    <t>Gegur Sepakat</t>
  </si>
  <si>
    <t>Tunyang</t>
  </si>
  <si>
    <t>Simpang Layang</t>
  </si>
  <si>
    <t>Blang Rongka</t>
  </si>
  <si>
    <t>Setie</t>
  </si>
  <si>
    <t>Cekal Baru</t>
  </si>
  <si>
    <t>Pantan Kemuning</t>
  </si>
  <si>
    <t>Jumlah</t>
  </si>
  <si>
    <t>II.</t>
  </si>
  <si>
    <t>Permata</t>
  </si>
  <si>
    <t>Buntul Peteri</t>
  </si>
  <si>
    <t>Bale Musara</t>
  </si>
  <si>
    <t>Jungke</t>
  </si>
  <si>
    <t>Kepies</t>
  </si>
  <si>
    <t>Seni Antara</t>
  </si>
  <si>
    <t>Pantan Tengah Jaya</t>
  </si>
  <si>
    <t>Ayu Ara</t>
  </si>
  <si>
    <t>Rikit Musara</t>
  </si>
  <si>
    <t>Suku Sara Tangke</t>
  </si>
  <si>
    <t>Ramung Jaya</t>
  </si>
  <si>
    <t>Timur Jaya</t>
  </si>
  <si>
    <t>Ceding Ayu</t>
  </si>
  <si>
    <t>Darul Aman</t>
  </si>
  <si>
    <t>Burni Pase</t>
  </si>
  <si>
    <t>Wih Tenang Uken</t>
  </si>
  <si>
    <t>Bintang Permata</t>
  </si>
  <si>
    <t>Uning Sejuk</t>
  </si>
  <si>
    <t>Wih Tenang Toa/Bakongan Baru</t>
  </si>
  <si>
    <t>Jelobok</t>
  </si>
  <si>
    <t>Penosan Jaya</t>
  </si>
  <si>
    <t>Bener Pepanyi</t>
  </si>
  <si>
    <t>Bintang Bener</t>
  </si>
  <si>
    <t>Pemango</t>
  </si>
  <si>
    <t>Gelampang Wih Tenang Uken</t>
  </si>
  <si>
    <t>Bale Purnama</t>
  </si>
  <si>
    <t>Temas Mumanang</t>
  </si>
  <si>
    <t>Tawar Bengi</t>
  </si>
  <si>
    <t>III.</t>
  </si>
  <si>
    <t>Mesidah</t>
  </si>
  <si>
    <t>Amor</t>
  </si>
  <si>
    <t>Buntul Gayo</t>
  </si>
  <si>
    <t>Weh Resap</t>
  </si>
  <si>
    <t>Pantan Kuli</t>
  </si>
  <si>
    <t>Cemparam Lama</t>
  </si>
  <si>
    <t>Cemparam Pakat Jeroh</t>
  </si>
  <si>
    <t>Cemparam Jaya</t>
  </si>
  <si>
    <t>Jamur Atu</t>
  </si>
  <si>
    <t>Simpang Renggali</t>
  </si>
  <si>
    <t>Gunung Sayang</t>
  </si>
  <si>
    <t>Uwer Tingkem</t>
  </si>
  <si>
    <t>Perumpaken Benjadi</t>
  </si>
  <si>
    <t>Simpur</t>
  </si>
  <si>
    <t>Hakim Peteri Pintu</t>
  </si>
  <si>
    <t>Sosial</t>
  </si>
  <si>
    <t>IV.</t>
  </si>
  <si>
    <t>Wih Pesam</t>
  </si>
  <si>
    <t>Blang Benara</t>
  </si>
  <si>
    <t>-</t>
  </si>
  <si>
    <t>Blang Paku</t>
  </si>
  <si>
    <t>Blang Kucak</t>
  </si>
  <si>
    <t>Burni Telong</t>
  </si>
  <si>
    <t>Cinta Damai</t>
  </si>
  <si>
    <t>Jamur Ujung</t>
  </si>
  <si>
    <t>Kebun Baru</t>
  </si>
  <si>
    <t>Lut Kucak</t>
  </si>
  <si>
    <t>Pante Raya</t>
  </si>
  <si>
    <t>Bukit Pepanyi</t>
  </si>
  <si>
    <t>Simpang Teritit</t>
  </si>
  <si>
    <t>Suka Jadi</t>
  </si>
  <si>
    <t>Suka Makmur Timur</t>
  </si>
  <si>
    <t>Suka Makmur</t>
  </si>
  <si>
    <t>Suka Ramai Atas</t>
  </si>
  <si>
    <t>Suka Ramai Bawah</t>
  </si>
  <si>
    <t>Syura Jadi</t>
  </si>
  <si>
    <t>Wono Sobo</t>
  </si>
  <si>
    <t>Simpang Antara</t>
  </si>
  <si>
    <t>Merie Satu</t>
  </si>
  <si>
    <t>Jamur Uluh</t>
  </si>
  <si>
    <t>Simpang Balik</t>
  </si>
  <si>
    <t>Bener Mulie</t>
  </si>
  <si>
    <t>Bener Ayu</t>
  </si>
  <si>
    <t>Gegerung</t>
  </si>
  <si>
    <t>V.</t>
  </si>
  <si>
    <t>Syiah Utama</t>
  </si>
  <si>
    <t>Tembolon</t>
  </si>
  <si>
    <t>Rusip</t>
  </si>
  <si>
    <t xml:space="preserve">Blang Panu </t>
  </si>
  <si>
    <t xml:space="preserve">Rata Mulie </t>
  </si>
  <si>
    <t>VI.</t>
  </si>
  <si>
    <t>Bukit</t>
  </si>
  <si>
    <t>Bale Redelong</t>
  </si>
  <si>
    <t>Ujung Gele</t>
  </si>
  <si>
    <t>Bale Atu</t>
  </si>
  <si>
    <t>Babussalam</t>
  </si>
  <si>
    <t>Hakim Tungul Naru</t>
  </si>
  <si>
    <t>Blang Panas</t>
  </si>
  <si>
    <t>Blang Tampu</t>
  </si>
  <si>
    <t>Serule Kayu</t>
  </si>
  <si>
    <t>Kute Tanyung</t>
  </si>
  <si>
    <t>Delung Tue</t>
  </si>
  <si>
    <t>Delung Asli</t>
  </si>
  <si>
    <t>Pilar Jaya</t>
  </si>
  <si>
    <t>Uning Bersah</t>
  </si>
  <si>
    <t>Uning Teritit</t>
  </si>
  <si>
    <t>Bathin Wih Pongas</t>
  </si>
  <si>
    <t>Tingkem Asli</t>
  </si>
  <si>
    <t>Tingkem Benyer</t>
  </si>
  <si>
    <t>Tingkem Bersatu</t>
  </si>
  <si>
    <t>Blang Sentang</t>
  </si>
  <si>
    <t>Reje Guru</t>
  </si>
  <si>
    <t>Mutiara Baru</t>
  </si>
  <si>
    <t>Bukit Bersatu</t>
  </si>
  <si>
    <t xml:space="preserve">Blang Ara </t>
  </si>
  <si>
    <t>Waq Pondok Sayur</t>
  </si>
  <si>
    <t>Panji Mulia I</t>
  </si>
  <si>
    <t>Panji Mulia II</t>
  </si>
  <si>
    <t xml:space="preserve">Rembele </t>
  </si>
  <si>
    <t>Karang Rejo</t>
  </si>
  <si>
    <t>Kute Kering</t>
  </si>
  <si>
    <t>Kute Lintang</t>
  </si>
  <si>
    <t xml:space="preserve">Isaq Busur </t>
  </si>
  <si>
    <t>Meluem</t>
  </si>
  <si>
    <t>Bujang</t>
  </si>
  <si>
    <t>Godang</t>
  </si>
  <si>
    <t>Uring</t>
  </si>
  <si>
    <t>Kenawat Redelong</t>
  </si>
  <si>
    <t>Paya Gajah</t>
  </si>
  <si>
    <t>Pasar Simpang Tiga</t>
  </si>
  <si>
    <t>Sedie Jadi</t>
  </si>
  <si>
    <t>Mupakat Jadi</t>
  </si>
  <si>
    <t>VII.</t>
  </si>
  <si>
    <t>Bener Kelipah</t>
  </si>
  <si>
    <t>Nosar Baru</t>
  </si>
  <si>
    <t>Nosar Tawar Jaya</t>
  </si>
  <si>
    <t>Bandar Jaya</t>
  </si>
  <si>
    <t>Lot Bener Kelpah</t>
  </si>
  <si>
    <t>Bener Kelipah Utara</t>
  </si>
  <si>
    <t>Bener Kelipah Selatan</t>
  </si>
  <si>
    <t>Gunung Musara</t>
  </si>
  <si>
    <t>Jongok Meluem</t>
  </si>
  <si>
    <t>Kala Tenang</t>
  </si>
  <si>
    <t>Bintang Musara</t>
  </si>
  <si>
    <t>Suku Bener</t>
  </si>
  <si>
    <t>Bener Lukup</t>
  </si>
  <si>
    <t>VIII.</t>
  </si>
  <si>
    <t>Bandar</t>
  </si>
  <si>
    <t>Pondok Baru</t>
  </si>
  <si>
    <t>Janarata</t>
  </si>
  <si>
    <t>Mutiara</t>
  </si>
  <si>
    <t>Puja Mulia</t>
  </si>
  <si>
    <t>Purwosari</t>
  </si>
  <si>
    <t>Tawar Sedenge</t>
  </si>
  <si>
    <t>Simpang Utama</t>
  </si>
  <si>
    <t>Makmur Sentosa</t>
  </si>
  <si>
    <t>Pondok Gajah</t>
  </si>
  <si>
    <t>Bathin Baru</t>
  </si>
  <si>
    <t>Suku Wih Ilang</t>
  </si>
  <si>
    <t>Gele Semayang</t>
  </si>
  <si>
    <t>Bukit Wih Ilang</t>
  </si>
  <si>
    <t>Bahgie Bertona</t>
  </si>
  <si>
    <t>Pondok Ulung</t>
  </si>
  <si>
    <t>Kala Nempan</t>
  </si>
  <si>
    <t>Pakat Jeroh</t>
  </si>
  <si>
    <t>Selisih Mara</t>
  </si>
  <si>
    <t>Selamat Rejo</t>
  </si>
  <si>
    <t>Hakim Wih Ilang</t>
  </si>
  <si>
    <t>Lewa Jadi</t>
  </si>
  <si>
    <t>Gunung Antara</t>
  </si>
  <si>
    <t>Remang Ketike Jaya</t>
  </si>
  <si>
    <t>Tanjung Pura</t>
  </si>
  <si>
    <t>Beranun Teleden</t>
  </si>
  <si>
    <t>Keramat Jaya</t>
  </si>
  <si>
    <t>Jadi Sepakat</t>
  </si>
  <si>
    <t>Sidodadi</t>
  </si>
  <si>
    <t>Petukel Blang Jorong</t>
  </si>
  <si>
    <t>Paya Baning</t>
  </si>
  <si>
    <t>Wonosari</t>
  </si>
  <si>
    <t>Tansaran Bidin</t>
  </si>
  <si>
    <t>Blang Pulo</t>
  </si>
  <si>
    <t>Sinar Jaya Paya Ringkel</t>
  </si>
  <si>
    <t>Muyang Kute Mangku</t>
  </si>
  <si>
    <t>IX.</t>
  </si>
  <si>
    <t>Gajah Putih</t>
  </si>
  <si>
    <t>Simpang Rahmat</t>
  </si>
  <si>
    <t>Reronga</t>
  </si>
  <si>
    <t>Gayo Setie</t>
  </si>
  <si>
    <t xml:space="preserve">Umah Besi </t>
  </si>
  <si>
    <t>Meriah Jaya</t>
  </si>
  <si>
    <t xml:space="preserve">Alam Jaya </t>
  </si>
  <si>
    <t>Pante Karya</t>
  </si>
  <si>
    <t>Pantan Lues</t>
  </si>
  <si>
    <t>X.</t>
  </si>
  <si>
    <t>Pintu Rime Gayo</t>
  </si>
  <si>
    <t>Bintang Berangun</t>
  </si>
  <si>
    <t>Pulo Intan</t>
  </si>
  <si>
    <t>Singah Mulo</t>
  </si>
  <si>
    <t>Alur Cincin</t>
  </si>
  <si>
    <t>Musara 58</t>
  </si>
  <si>
    <t>Uning Mas</t>
  </si>
  <si>
    <t>Blang Rakal</t>
  </si>
  <si>
    <t>Bener Meriah</t>
  </si>
  <si>
    <t>Wih Porak</t>
  </si>
  <si>
    <t>Alur Gading</t>
  </si>
  <si>
    <t>Ulu Naron</t>
  </si>
  <si>
    <t>Perdamaian</t>
  </si>
  <si>
    <t>Rime Raya</t>
  </si>
  <si>
    <t>Taman Firdaus</t>
  </si>
  <si>
    <t>Pantan Sinaku</t>
  </si>
  <si>
    <t>Rata Ara</t>
  </si>
  <si>
    <t>Simpang Lancang</t>
  </si>
  <si>
    <t>Pancar Jelobok</t>
  </si>
  <si>
    <t>Blang Ara</t>
  </si>
  <si>
    <t>Gemasih</t>
  </si>
  <si>
    <t>TOTAL</t>
  </si>
  <si>
    <t>Sumber Data</t>
  </si>
  <si>
    <t xml:space="preserve">:  BPP Masing-masing Kecamatan berkoordinasi dengan Reje Kampung </t>
  </si>
  <si>
    <t>Kepala Dinas Pertanian dan Pangan</t>
  </si>
  <si>
    <t>Kabupaten Bener Meriah</t>
  </si>
  <si>
    <t>Uswatun Hasanah, SP, MP</t>
  </si>
  <si>
    <t>Pembina / IV.a</t>
  </si>
  <si>
    <t>Nip : 19770528 200604 2 001</t>
  </si>
  <si>
    <t>Redelong, 3 Juli 2023</t>
  </si>
  <si>
    <t>SP Nomor : Peg.875/831/2023</t>
  </si>
  <si>
    <t>Tanggal 1 Juli 2023</t>
  </si>
  <si>
    <t xml:space="preserve">Wihni Durin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</si>
</sst>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\-_);_(@_)"/>
    <numFmt numFmtId="165" formatCode="_-* #,##0.00_-;\-* #,##0.00_-;_-* \-_-;_-@_-"/>
    <numFmt numFmtId="166" formatCode="_-* #,##0_-;\-* #,##0_-;_-* \-_-;_-@_-"/>
    <numFmt numFmtId="167" formatCode="_(* #,##0.00_);_(* \(#,##0.00\);_(* \-??_);_(@_)"/>
    <numFmt numFmtId="168" formatCode="_-* #,##0.00_-;\-* #,##0.00_-;_-* \-??_-;_-@_-"/>
    <numFmt numFmtId="169" formatCode="_(* #,##0.0_);_(* \(#,##0.0\);_(* \-??_);_(@_)"/>
    <numFmt numFmtId="170" formatCode="_(* #,##0_);_(* \(#,##0\);_(* \-??_);_(@_)"/>
  </numFmts>
  <fonts count="15" x14ac:knownFonts="1">
    <font>
      <sz val="11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1"/>
      <color theme="1"/>
      <name val="Bookman Old Style"/>
      <family val="1"/>
      <charset val="1"/>
    </font>
    <font>
      <b/>
      <sz val="18"/>
      <color theme="1"/>
      <name val="Bookman Old Style"/>
      <family val="1"/>
      <charset val="1"/>
    </font>
    <font>
      <b/>
      <i/>
      <sz val="11"/>
      <color theme="1"/>
      <name val="Bookman Old Style"/>
      <family val="1"/>
      <charset val="1"/>
    </font>
    <font>
      <i/>
      <sz val="11"/>
      <color theme="1"/>
      <name val="Bookman Old Style"/>
      <family val="1"/>
      <charset val="1"/>
    </font>
    <font>
      <sz val="11"/>
      <name val="Bookman Old Style"/>
      <family val="1"/>
      <charset val="1"/>
    </font>
    <font>
      <b/>
      <sz val="11"/>
      <color theme="1"/>
      <name val="Bookman Old Style"/>
      <family val="1"/>
      <charset val="1"/>
    </font>
    <font>
      <sz val="11"/>
      <color rgb="FF000000"/>
      <name val="Bookman Old Style"/>
      <family val="1"/>
      <charset val="1"/>
    </font>
    <font>
      <sz val="10"/>
      <color rgb="FF000000"/>
      <name val="Bookman Old Style"/>
      <family val="1"/>
      <charset val="1"/>
    </font>
    <font>
      <sz val="10"/>
      <name val="Bookman Old Style"/>
      <family val="1"/>
      <charset val="1"/>
    </font>
    <font>
      <sz val="10"/>
      <color theme="1"/>
      <name val="Bookman Old Style"/>
      <family val="1"/>
      <charset val="1"/>
    </font>
    <font>
      <sz val="12"/>
      <color theme="1"/>
      <name val="Bookman Old Style"/>
      <family val="1"/>
      <charset val="1"/>
    </font>
    <font>
      <b/>
      <u/>
      <sz val="12"/>
      <color theme="1"/>
      <name val="Bookman Old Style"/>
      <family val="1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4">
    <xf numFmtId="0" fontId="0" fillId="0" borderId="0"/>
    <xf numFmtId="167" fontId="14" fillId="0" borderId="0"/>
    <xf numFmtId="0" fontId="1" fillId="0" borderId="0"/>
    <xf numFmtId="164" fontId="14" fillId="0" borderId="0"/>
  </cellStyleXfs>
  <cellXfs count="101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/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165" fontId="2" fillId="0" borderId="6" xfId="3" applyNumberFormat="1" applyFont="1" applyBorder="1" applyAlignment="1">
      <alignment horizontal="center" vertical="center"/>
    </xf>
    <xf numFmtId="165" fontId="2" fillId="0" borderId="6" xfId="3" applyNumberFormat="1" applyFont="1" applyBorder="1" applyAlignment="1">
      <alignment horizontal="center" vertical="center" wrapText="1"/>
    </xf>
    <xf numFmtId="166" fontId="2" fillId="0" borderId="6" xfId="3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66" fontId="2" fillId="2" borderId="6" xfId="3" applyNumberFormat="1" applyFont="1" applyFill="1" applyBorder="1" applyAlignment="1">
      <alignment horizontal="center" vertical="center"/>
    </xf>
    <xf numFmtId="165" fontId="2" fillId="2" borderId="6" xfId="3" applyNumberFormat="1" applyFont="1" applyFill="1" applyBorder="1" applyAlignment="1">
      <alignment horizontal="center" vertical="center"/>
    </xf>
    <xf numFmtId="165" fontId="2" fillId="0" borderId="0" xfId="0" applyNumberFormat="1" applyFont="1"/>
    <xf numFmtId="0" fontId="7" fillId="0" borderId="6" xfId="0" applyFont="1" applyBorder="1" applyAlignment="1">
      <alignment horizontal="center" vertical="center"/>
    </xf>
    <xf numFmtId="165" fontId="7" fillId="0" borderId="6" xfId="3" applyNumberFormat="1" applyFont="1" applyBorder="1" applyAlignment="1">
      <alignment horizontal="center" vertical="center"/>
    </xf>
    <xf numFmtId="165" fontId="7" fillId="3" borderId="6" xfId="3" applyNumberFormat="1" applyFont="1" applyFill="1" applyBorder="1" applyAlignment="1">
      <alignment horizontal="center" vertical="center"/>
    </xf>
    <xf numFmtId="166" fontId="7" fillId="0" borderId="6" xfId="3" applyNumberFormat="1" applyFont="1" applyBorder="1" applyAlignment="1">
      <alignment horizontal="center" vertical="center"/>
    </xf>
    <xf numFmtId="49" fontId="2" fillId="0" borderId="7" xfId="0" applyNumberFormat="1" applyFont="1" applyBorder="1"/>
    <xf numFmtId="167" fontId="2" fillId="0" borderId="0" xfId="1" applyFont="1"/>
    <xf numFmtId="167" fontId="2" fillId="0" borderId="0" xfId="0" applyNumberFormat="1" applyFont="1"/>
    <xf numFmtId="0" fontId="2" fillId="0" borderId="9" xfId="0" applyFont="1" applyBorder="1" applyAlignment="1">
      <alignment horizontal="center"/>
    </xf>
    <xf numFmtId="0" fontId="2" fillId="2" borderId="6" xfId="0" applyFont="1" applyFill="1" applyBorder="1"/>
    <xf numFmtId="0" fontId="8" fillId="0" borderId="8" xfId="2" applyFont="1" applyBorder="1" applyAlignment="1">
      <alignment horizontal="left" vertical="center"/>
    </xf>
    <xf numFmtId="165" fontId="2" fillId="0" borderId="6" xfId="3" applyNumberFormat="1" applyFont="1" applyBorder="1"/>
    <xf numFmtId="166" fontId="2" fillId="0" borderId="10" xfId="3" applyNumberFormat="1" applyFont="1" applyBorder="1" applyAlignment="1">
      <alignment horizontal="center" vertical="center"/>
    </xf>
    <xf numFmtId="166" fontId="8" fillId="0" borderId="6" xfId="3" applyNumberFormat="1" applyFont="1" applyBorder="1" applyAlignment="1">
      <alignment horizontal="center" vertical="center"/>
    </xf>
    <xf numFmtId="0" fontId="2" fillId="0" borderId="11" xfId="0" applyFont="1" applyBorder="1"/>
    <xf numFmtId="0" fontId="2" fillId="0" borderId="6" xfId="0" applyFont="1" applyBorder="1"/>
    <xf numFmtId="165" fontId="8" fillId="0" borderId="6" xfId="3" applyNumberFormat="1" applyFont="1" applyBorder="1" applyAlignment="1">
      <alignment horizontal="center" vertical="center"/>
    </xf>
    <xf numFmtId="0" fontId="2" fillId="0" borderId="8" xfId="2" applyFont="1" applyBorder="1" applyAlignment="1">
      <alignment horizontal="left" vertical="center"/>
    </xf>
    <xf numFmtId="168" fontId="2" fillId="0" borderId="11" xfId="0" applyNumberFormat="1" applyFont="1" applyBorder="1"/>
    <xf numFmtId="0" fontId="8" fillId="0" borderId="12" xfId="0" applyFont="1" applyBorder="1" applyAlignment="1">
      <alignment horizontal="left" vertical="center"/>
    </xf>
    <xf numFmtId="165" fontId="8" fillId="0" borderId="6" xfId="3" applyNumberFormat="1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center" vertical="center"/>
    </xf>
    <xf numFmtId="0" fontId="2" fillId="0" borderId="7" xfId="0" applyFont="1" applyBorder="1"/>
    <xf numFmtId="0" fontId="8" fillId="0" borderId="8" xfId="0" applyFont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165" fontId="8" fillId="0" borderId="8" xfId="3" applyNumberFormat="1" applyFont="1" applyBorder="1" applyAlignment="1">
      <alignment horizontal="center" vertical="center"/>
    </xf>
    <xf numFmtId="165" fontId="8" fillId="2" borderId="8" xfId="3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165" fontId="2" fillId="0" borderId="10" xfId="3" applyNumberFormat="1" applyFont="1" applyBorder="1" applyAlignment="1">
      <alignment horizontal="center" vertical="center"/>
    </xf>
    <xf numFmtId="165" fontId="2" fillId="0" borderId="10" xfId="3" applyNumberFormat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/>
    </xf>
    <xf numFmtId="165" fontId="2" fillId="0" borderId="6" xfId="3" applyNumberFormat="1" applyFont="1" applyBorder="1" applyAlignment="1">
      <alignment vertical="center"/>
    </xf>
    <xf numFmtId="0" fontId="2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left" vertical="center"/>
    </xf>
    <xf numFmtId="165" fontId="10" fillId="0" borderId="6" xfId="3" applyNumberFormat="1" applyFont="1" applyBorder="1" applyAlignment="1">
      <alignment horizontal="center" vertical="center"/>
    </xf>
    <xf numFmtId="165" fontId="10" fillId="0" borderId="0" xfId="3" applyNumberFormat="1" applyFont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10" fillId="0" borderId="6" xfId="3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165" fontId="2" fillId="0" borderId="8" xfId="3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165" fontId="2" fillId="2" borderId="8" xfId="3" applyNumberFormat="1" applyFont="1" applyFill="1" applyBorder="1" applyAlignment="1">
      <alignment horizontal="center" vertical="center"/>
    </xf>
    <xf numFmtId="165" fontId="2" fillId="2" borderId="6" xfId="3" applyNumberFormat="1" applyFont="1" applyFill="1" applyBorder="1"/>
    <xf numFmtId="166" fontId="2" fillId="2" borderId="6" xfId="0" applyNumberFormat="1" applyFont="1" applyFill="1" applyBorder="1" applyAlignment="1">
      <alignment horizontal="center" vertical="center"/>
    </xf>
    <xf numFmtId="166" fontId="11" fillId="0" borderId="6" xfId="3" applyNumberFormat="1" applyFont="1" applyBorder="1" applyAlignment="1">
      <alignment horizontal="center" vertical="center"/>
    </xf>
    <xf numFmtId="168" fontId="2" fillId="0" borderId="7" xfId="0" applyNumberFormat="1" applyFont="1" applyBorder="1"/>
    <xf numFmtId="169" fontId="2" fillId="0" borderId="0" xfId="1" applyNumberFormat="1" applyFont="1"/>
    <xf numFmtId="0" fontId="2" fillId="2" borderId="6" xfId="0" applyFont="1" applyFill="1" applyBorder="1" applyAlignment="1">
      <alignment vertical="center"/>
    </xf>
    <xf numFmtId="165" fontId="11" fillId="0" borderId="6" xfId="3" applyNumberFormat="1" applyFont="1" applyBorder="1" applyAlignment="1">
      <alignment horizontal="center" vertical="center"/>
    </xf>
    <xf numFmtId="165" fontId="11" fillId="0" borderId="6" xfId="3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170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170" fontId="2" fillId="0" borderId="0" xfId="0" applyNumberFormat="1" applyFont="1" applyAlignment="1">
      <alignment vertical="center"/>
    </xf>
    <xf numFmtId="166" fontId="14" fillId="0" borderId="6" xfId="3" applyNumberFormat="1" applyBorder="1" applyAlignment="1">
      <alignment horizontal="center" vertical="center"/>
    </xf>
    <xf numFmtId="166" fontId="2" fillId="0" borderId="7" xfId="3" applyNumberFormat="1" applyFont="1" applyBorder="1"/>
    <xf numFmtId="0" fontId="7" fillId="0" borderId="17" xfId="0" applyFont="1" applyBorder="1" applyAlignment="1">
      <alignment horizontal="center" vertical="center"/>
    </xf>
    <xf numFmtId="165" fontId="7" fillId="0" borderId="17" xfId="3" applyNumberFormat="1" applyFont="1" applyBorder="1" applyAlignment="1">
      <alignment horizontal="center" vertical="center"/>
    </xf>
    <xf numFmtId="166" fontId="7" fillId="0" borderId="17" xfId="3" applyNumberFormat="1" applyFont="1" applyBorder="1" applyAlignment="1">
      <alignment horizontal="center" vertical="center"/>
    </xf>
    <xf numFmtId="49" fontId="2" fillId="0" borderId="18" xfId="0" applyNumberFormat="1" applyFont="1" applyBorder="1"/>
    <xf numFmtId="168" fontId="2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4">
    <cellStyle name="Comma" xfId="1" builtinId="3"/>
    <cellStyle name="Excel Built-in Comma [0]" xfId="3" xr:uid="{00000000-0005-0000-0000-000007000000}"/>
    <cellStyle name="Normal" xfId="0" builtinId="0"/>
    <cellStyle name="Normal 4" xfId="2" xr:uid="{00000000-0005-0000-0000-000006000000}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7"/>
  <sheetViews>
    <sheetView tabSelected="1" view="pageBreakPreview" zoomScale="80" zoomScaleNormal="80" zoomScalePageLayoutView="80" workbookViewId="0">
      <pane ySplit="5" topLeftCell="A100" activePane="bottomLeft" state="frozen"/>
      <selection pane="bottomLeft" activeCell="D110" sqref="D110"/>
    </sheetView>
  </sheetViews>
  <sheetFormatPr defaultColWidth="9.140625" defaultRowHeight="15" x14ac:dyDescent="0.25"/>
  <cols>
    <col min="1" max="1" width="6" style="3" customWidth="1"/>
    <col min="2" max="2" width="24.85546875" style="4" customWidth="1"/>
    <col min="3" max="3" width="7.140625" style="4" customWidth="1"/>
    <col min="4" max="4" width="33.28515625" style="4" customWidth="1"/>
    <col min="5" max="5" width="21.5703125" style="4" customWidth="1"/>
    <col min="6" max="6" width="12.7109375" style="4" customWidth="1"/>
    <col min="7" max="7" width="15" style="4" customWidth="1"/>
    <col min="8" max="8" width="12.7109375" style="4" customWidth="1"/>
    <col min="9" max="9" width="12.7109375" style="4" hidden="1" customWidth="1"/>
    <col min="10" max="10" width="15.5703125" style="4" customWidth="1"/>
    <col min="11" max="11" width="20.7109375" style="4" customWidth="1"/>
    <col min="12" max="12" width="14.28515625" style="3" customWidth="1"/>
    <col min="13" max="13" width="14.28515625" style="4" customWidth="1"/>
    <col min="14" max="14" width="14.5703125" style="4" customWidth="1"/>
    <col min="15" max="15" width="12" style="4" customWidth="1"/>
    <col min="16" max="16384" width="9.140625" style="4"/>
  </cols>
  <sheetData>
    <row r="1" spans="1:15" x14ac:dyDescent="0.2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5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1:15" ht="15.75" customHeight="1" x14ac:dyDescent="0.25">
      <c r="G3" s="3"/>
    </row>
    <row r="4" spans="1:15" ht="45" customHeight="1" x14ac:dyDescent="0.25">
      <c r="A4" s="5" t="s">
        <v>1</v>
      </c>
      <c r="B4" s="6" t="s">
        <v>2</v>
      </c>
      <c r="C4" s="99" t="s">
        <v>3</v>
      </c>
      <c r="D4" s="99"/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7" t="s">
        <v>12</v>
      </c>
    </row>
    <row r="5" spans="1:15" s="12" customFormat="1" ht="15.75" customHeight="1" x14ac:dyDescent="0.2">
      <c r="A5" s="8">
        <v>1</v>
      </c>
      <c r="B5" s="9">
        <v>2</v>
      </c>
      <c r="C5" s="100">
        <v>3</v>
      </c>
      <c r="D5" s="100"/>
      <c r="E5" s="1">
        <v>4</v>
      </c>
      <c r="F5" s="1">
        <v>5</v>
      </c>
      <c r="G5" s="1">
        <v>6</v>
      </c>
      <c r="H5" s="1">
        <v>7</v>
      </c>
      <c r="I5" s="1"/>
      <c r="J5" s="10">
        <v>8</v>
      </c>
      <c r="K5" s="1">
        <v>9</v>
      </c>
      <c r="L5" s="1">
        <v>10</v>
      </c>
      <c r="M5" s="11">
        <v>11</v>
      </c>
    </row>
    <row r="6" spans="1:15" ht="17.25" customHeight="1" x14ac:dyDescent="0.25">
      <c r="A6" s="13" t="s">
        <v>13</v>
      </c>
      <c r="B6" s="14" t="s">
        <v>14</v>
      </c>
      <c r="C6" s="15">
        <v>1</v>
      </c>
      <c r="D6" s="16" t="s">
        <v>15</v>
      </c>
      <c r="E6" s="17" t="s">
        <v>16</v>
      </c>
      <c r="F6" s="18">
        <v>12.95</v>
      </c>
      <c r="G6" s="18">
        <v>95.81</v>
      </c>
      <c r="H6" s="18">
        <v>8.83</v>
      </c>
      <c r="I6" s="19"/>
      <c r="J6" s="18">
        <f t="shared" ref="J6:J25" si="0">SUM(F6:H6)</f>
        <v>117.59</v>
      </c>
      <c r="K6" s="20">
        <v>68142</v>
      </c>
      <c r="L6" s="20">
        <v>112</v>
      </c>
      <c r="M6" s="21"/>
    </row>
    <row r="7" spans="1:15" ht="17.25" customHeight="1" x14ac:dyDescent="0.25">
      <c r="A7" s="22"/>
      <c r="B7" s="23"/>
      <c r="C7" s="15">
        <v>2</v>
      </c>
      <c r="D7" s="16" t="s">
        <v>17</v>
      </c>
      <c r="E7" s="17" t="s">
        <v>16</v>
      </c>
      <c r="F7" s="18">
        <v>5</v>
      </c>
      <c r="G7" s="18">
        <v>20.8</v>
      </c>
      <c r="H7" s="18">
        <v>6.81</v>
      </c>
      <c r="I7" s="19"/>
      <c r="J7" s="18">
        <f t="shared" si="0"/>
        <v>32.61</v>
      </c>
      <c r="K7" s="20">
        <v>16131</v>
      </c>
      <c r="L7" s="20">
        <v>62</v>
      </c>
      <c r="M7" s="21"/>
    </row>
    <row r="8" spans="1:15" ht="17.25" customHeight="1" x14ac:dyDescent="0.25">
      <c r="A8" s="13"/>
      <c r="B8" s="23"/>
      <c r="C8" s="15">
        <v>3</v>
      </c>
      <c r="D8" s="16" t="s">
        <v>18</v>
      </c>
      <c r="E8" s="17" t="s">
        <v>16</v>
      </c>
      <c r="F8" s="18">
        <v>10.73</v>
      </c>
      <c r="G8" s="18">
        <v>164.12</v>
      </c>
      <c r="H8" s="18">
        <v>14.49</v>
      </c>
      <c r="I8" s="19"/>
      <c r="J8" s="18">
        <f t="shared" si="0"/>
        <v>189.34</v>
      </c>
      <c r="K8" s="20">
        <v>1732</v>
      </c>
      <c r="L8" s="20">
        <v>145</v>
      </c>
      <c r="M8" s="21"/>
    </row>
    <row r="9" spans="1:15" ht="17.25" customHeight="1" x14ac:dyDescent="0.25">
      <c r="A9" s="22"/>
      <c r="B9" s="23"/>
      <c r="C9" s="15">
        <v>4</v>
      </c>
      <c r="D9" s="16" t="s">
        <v>19</v>
      </c>
      <c r="E9" s="17" t="s">
        <v>16</v>
      </c>
      <c r="F9" s="18">
        <v>97.25</v>
      </c>
      <c r="G9" s="18">
        <v>260.3</v>
      </c>
      <c r="H9" s="18">
        <v>35.33</v>
      </c>
      <c r="I9" s="19"/>
      <c r="J9" s="18">
        <f t="shared" si="0"/>
        <v>392.88</v>
      </c>
      <c r="K9" s="20">
        <v>200699</v>
      </c>
      <c r="L9" s="20">
        <v>113</v>
      </c>
      <c r="M9" s="21"/>
    </row>
    <row r="10" spans="1:15" ht="17.25" customHeight="1" x14ac:dyDescent="0.25">
      <c r="A10" s="13"/>
      <c r="B10" s="23"/>
      <c r="C10" s="15">
        <v>5</v>
      </c>
      <c r="D10" s="16" t="s">
        <v>20</v>
      </c>
      <c r="E10" s="17" t="s">
        <v>16</v>
      </c>
      <c r="F10" s="18">
        <v>11.07</v>
      </c>
      <c r="G10" s="18">
        <v>40.75</v>
      </c>
      <c r="H10" s="18">
        <v>33.07</v>
      </c>
      <c r="I10" s="19"/>
      <c r="J10" s="18">
        <f t="shared" si="0"/>
        <v>84.89</v>
      </c>
      <c r="K10" s="20">
        <v>443</v>
      </c>
      <c r="L10" s="20">
        <v>65</v>
      </c>
      <c r="M10" s="21"/>
    </row>
    <row r="11" spans="1:15" ht="17.25" customHeight="1" x14ac:dyDescent="0.25">
      <c r="A11" s="22"/>
      <c r="B11" s="23"/>
      <c r="C11" s="15">
        <v>6</v>
      </c>
      <c r="D11" s="16" t="s">
        <v>21</v>
      </c>
      <c r="E11" s="17" t="s">
        <v>16</v>
      </c>
      <c r="F11" s="18">
        <v>11.27</v>
      </c>
      <c r="G11" s="18">
        <v>63.33</v>
      </c>
      <c r="H11" s="18">
        <v>36.31</v>
      </c>
      <c r="I11" s="19"/>
      <c r="J11" s="18">
        <f t="shared" si="0"/>
        <v>110.91</v>
      </c>
      <c r="K11" s="20">
        <v>668</v>
      </c>
      <c r="L11" s="20">
        <v>129</v>
      </c>
      <c r="M11" s="21"/>
      <c r="O11" s="4">
        <v>750</v>
      </c>
    </row>
    <row r="12" spans="1:15" ht="17.25" customHeight="1" x14ac:dyDescent="0.25">
      <c r="A12" s="13"/>
      <c r="B12" s="23"/>
      <c r="C12" s="15">
        <v>7</v>
      </c>
      <c r="D12" s="16" t="s">
        <v>22</v>
      </c>
      <c r="E12" s="24" t="s">
        <v>16</v>
      </c>
      <c r="F12" s="18">
        <v>5.96</v>
      </c>
      <c r="G12" s="18">
        <v>136.56</v>
      </c>
      <c r="H12" s="18">
        <v>7.94</v>
      </c>
      <c r="I12" s="19"/>
      <c r="J12" s="18">
        <f t="shared" si="0"/>
        <v>150.46</v>
      </c>
      <c r="K12" s="20">
        <v>1466</v>
      </c>
      <c r="L12" s="20">
        <v>155</v>
      </c>
      <c r="M12" s="21"/>
    </row>
    <row r="13" spans="1:15" ht="17.25" customHeight="1" x14ac:dyDescent="0.25">
      <c r="A13" s="22"/>
      <c r="B13" s="23"/>
      <c r="C13" s="15">
        <v>8</v>
      </c>
      <c r="D13" s="16" t="s">
        <v>23</v>
      </c>
      <c r="E13" s="24" t="s">
        <v>16</v>
      </c>
      <c r="F13" s="18">
        <v>9.9700000000000006</v>
      </c>
      <c r="G13" s="18">
        <v>74.12</v>
      </c>
      <c r="H13" s="18">
        <v>4.9000000000000004</v>
      </c>
      <c r="I13" s="19"/>
      <c r="J13" s="18">
        <f t="shared" si="0"/>
        <v>88.990000000000009</v>
      </c>
      <c r="K13" s="20">
        <v>46286</v>
      </c>
      <c r="L13" s="20">
        <v>522</v>
      </c>
      <c r="M13" s="21"/>
    </row>
    <row r="14" spans="1:15" ht="17.25" customHeight="1" x14ac:dyDescent="0.25">
      <c r="A14" s="13"/>
      <c r="B14" s="23"/>
      <c r="C14" s="15">
        <v>9</v>
      </c>
      <c r="D14" s="16" t="s">
        <v>24</v>
      </c>
      <c r="E14" s="24" t="s">
        <v>16</v>
      </c>
      <c r="F14" s="18">
        <v>1.01</v>
      </c>
      <c r="G14" s="18">
        <v>81.64</v>
      </c>
      <c r="H14" s="18">
        <v>2.87</v>
      </c>
      <c r="I14" s="19"/>
      <c r="J14" s="18">
        <f t="shared" si="0"/>
        <v>85.52000000000001</v>
      </c>
      <c r="K14" s="20">
        <v>58725</v>
      </c>
      <c r="L14" s="20">
        <v>191</v>
      </c>
      <c r="M14" s="21"/>
    </row>
    <row r="15" spans="1:15" ht="17.25" customHeight="1" x14ac:dyDescent="0.25">
      <c r="A15" s="22"/>
      <c r="B15" s="23"/>
      <c r="C15" s="15">
        <v>10</v>
      </c>
      <c r="D15" s="16" t="s">
        <v>25</v>
      </c>
      <c r="E15" s="24" t="s">
        <v>16</v>
      </c>
      <c r="F15" s="18">
        <v>66.52</v>
      </c>
      <c r="G15" s="18">
        <v>335.14</v>
      </c>
      <c r="H15" s="18">
        <v>11.86</v>
      </c>
      <c r="I15" s="19"/>
      <c r="J15" s="18">
        <f t="shared" si="0"/>
        <v>413.52</v>
      </c>
      <c r="K15" s="20">
        <v>249214</v>
      </c>
      <c r="L15" s="20">
        <v>279</v>
      </c>
      <c r="M15" s="21"/>
    </row>
    <row r="16" spans="1:15" ht="17.25" customHeight="1" x14ac:dyDescent="0.25">
      <c r="A16" s="13"/>
      <c r="B16" s="23"/>
      <c r="C16" s="15">
        <v>11</v>
      </c>
      <c r="D16" s="16" t="s">
        <v>26</v>
      </c>
      <c r="E16" s="24" t="s">
        <v>16</v>
      </c>
      <c r="F16" s="18">
        <v>10.220000000000001</v>
      </c>
      <c r="G16" s="18">
        <v>26.47</v>
      </c>
      <c r="H16" s="18">
        <v>3.92</v>
      </c>
      <c r="I16" s="19"/>
      <c r="J16" s="18">
        <f t="shared" si="0"/>
        <v>40.61</v>
      </c>
      <c r="K16" s="20">
        <v>18083</v>
      </c>
      <c r="L16" s="20">
        <v>64</v>
      </c>
      <c r="M16" s="21"/>
    </row>
    <row r="17" spans="1:15" ht="17.25" customHeight="1" x14ac:dyDescent="0.25">
      <c r="A17" s="22"/>
      <c r="B17" s="23"/>
      <c r="C17" s="15">
        <v>12</v>
      </c>
      <c r="D17" s="16" t="s">
        <v>27</v>
      </c>
      <c r="E17" s="24" t="s">
        <v>16</v>
      </c>
      <c r="F17" s="18">
        <v>1.02</v>
      </c>
      <c r="G17" s="18">
        <v>48.66</v>
      </c>
      <c r="H17" s="18">
        <v>2.92</v>
      </c>
      <c r="I17" s="19"/>
      <c r="J17" s="18">
        <f t="shared" si="0"/>
        <v>52.6</v>
      </c>
      <c r="K17" s="20">
        <v>35125</v>
      </c>
      <c r="L17" s="20">
        <v>89</v>
      </c>
      <c r="M17" s="21"/>
    </row>
    <row r="18" spans="1:15" ht="17.25" customHeight="1" x14ac:dyDescent="0.25">
      <c r="A18" s="13"/>
      <c r="B18" s="23"/>
      <c r="C18" s="15">
        <v>13</v>
      </c>
      <c r="D18" s="16" t="s">
        <v>28</v>
      </c>
      <c r="E18" s="24" t="s">
        <v>16</v>
      </c>
      <c r="F18" s="18">
        <v>4.1100000000000003</v>
      </c>
      <c r="G18" s="18">
        <v>289.67</v>
      </c>
      <c r="H18" s="18">
        <v>3.85</v>
      </c>
      <c r="I18" s="19"/>
      <c r="J18" s="18">
        <f t="shared" si="0"/>
        <v>297.63000000000005</v>
      </c>
      <c r="K18" s="20">
        <v>179544</v>
      </c>
      <c r="L18" s="20">
        <v>143</v>
      </c>
      <c r="M18" s="21"/>
    </row>
    <row r="19" spans="1:15" ht="17.25" customHeight="1" x14ac:dyDescent="0.25">
      <c r="A19" s="22"/>
      <c r="B19" s="23"/>
      <c r="C19" s="15">
        <v>14</v>
      </c>
      <c r="D19" s="16" t="s">
        <v>29</v>
      </c>
      <c r="E19" s="24" t="s">
        <v>16</v>
      </c>
      <c r="F19" s="18">
        <v>11.07</v>
      </c>
      <c r="G19" s="18">
        <v>50.1</v>
      </c>
      <c r="H19" s="18">
        <v>20.89</v>
      </c>
      <c r="I19" s="19"/>
      <c r="J19" s="18">
        <f t="shared" si="0"/>
        <v>82.06</v>
      </c>
      <c r="K19" s="20">
        <v>926</v>
      </c>
      <c r="L19" s="20">
        <v>444</v>
      </c>
      <c r="M19" s="21"/>
      <c r="O19" s="4">
        <v>750</v>
      </c>
    </row>
    <row r="20" spans="1:15" ht="17.25" customHeight="1" x14ac:dyDescent="0.25">
      <c r="A20" s="13"/>
      <c r="B20" s="23"/>
      <c r="C20" s="15">
        <v>15</v>
      </c>
      <c r="D20" s="16" t="s">
        <v>30</v>
      </c>
      <c r="E20" s="24" t="s">
        <v>16</v>
      </c>
      <c r="F20" s="18">
        <v>222.58</v>
      </c>
      <c r="G20" s="18">
        <v>700.65</v>
      </c>
      <c r="H20" s="18">
        <v>158.86000000000001</v>
      </c>
      <c r="I20" s="19"/>
      <c r="J20" s="18">
        <f t="shared" si="0"/>
        <v>1082.0900000000001</v>
      </c>
      <c r="K20" s="20">
        <v>13132</v>
      </c>
      <c r="L20" s="20">
        <v>357</v>
      </c>
      <c r="M20" s="21"/>
    </row>
    <row r="21" spans="1:15" ht="17.25" customHeight="1" x14ac:dyDescent="0.25">
      <c r="A21" s="22"/>
      <c r="B21" s="23"/>
      <c r="C21" s="15">
        <v>16</v>
      </c>
      <c r="D21" s="16" t="s">
        <v>31</v>
      </c>
      <c r="E21" s="24" t="s">
        <v>16</v>
      </c>
      <c r="F21" s="18">
        <v>5.15</v>
      </c>
      <c r="G21" s="18">
        <v>20.309999999999999</v>
      </c>
      <c r="H21" s="18">
        <v>4.92</v>
      </c>
      <c r="I21" s="19"/>
      <c r="J21" s="18">
        <f t="shared" si="0"/>
        <v>30.380000000000003</v>
      </c>
      <c r="K21" s="20">
        <v>12860</v>
      </c>
      <c r="L21" s="20">
        <v>84</v>
      </c>
      <c r="M21" s="21"/>
    </row>
    <row r="22" spans="1:15" ht="17.25" customHeight="1" x14ac:dyDescent="0.25">
      <c r="A22" s="13"/>
      <c r="B22" s="23"/>
      <c r="C22" s="15">
        <v>17</v>
      </c>
      <c r="D22" s="16" t="s">
        <v>32</v>
      </c>
      <c r="E22" s="24" t="s">
        <v>16</v>
      </c>
      <c r="F22" s="18">
        <v>30.44</v>
      </c>
      <c r="G22" s="18">
        <v>50.21</v>
      </c>
      <c r="H22" s="18">
        <v>0</v>
      </c>
      <c r="I22" s="19"/>
      <c r="J22" s="18">
        <f t="shared" si="0"/>
        <v>80.650000000000006</v>
      </c>
      <c r="K22" s="20">
        <v>28233</v>
      </c>
      <c r="L22" s="20">
        <v>68</v>
      </c>
      <c r="M22" s="21"/>
    </row>
    <row r="23" spans="1:15" ht="17.25" customHeight="1" x14ac:dyDescent="0.25">
      <c r="A23" s="22"/>
      <c r="B23" s="23"/>
      <c r="C23" s="15">
        <v>18</v>
      </c>
      <c r="D23" s="16" t="s">
        <v>33</v>
      </c>
      <c r="E23" s="24" t="s">
        <v>16</v>
      </c>
      <c r="F23" s="18">
        <v>2.02</v>
      </c>
      <c r="G23" s="18">
        <v>17.84</v>
      </c>
      <c r="H23" s="18">
        <v>3.5</v>
      </c>
      <c r="I23" s="19"/>
      <c r="J23" s="18">
        <f t="shared" si="0"/>
        <v>23.36</v>
      </c>
      <c r="K23" s="20">
        <v>13310</v>
      </c>
      <c r="L23" s="20">
        <v>60</v>
      </c>
      <c r="M23" s="21"/>
      <c r="O23" s="4">
        <v>650</v>
      </c>
    </row>
    <row r="24" spans="1:15" ht="17.25" customHeight="1" x14ac:dyDescent="0.25">
      <c r="A24" s="13"/>
      <c r="B24" s="23"/>
      <c r="C24" s="15">
        <v>19</v>
      </c>
      <c r="D24" s="16" t="s">
        <v>34</v>
      </c>
      <c r="E24" s="24" t="s">
        <v>16</v>
      </c>
      <c r="F24" s="18">
        <v>0.5</v>
      </c>
      <c r="G24" s="18">
        <v>36.72</v>
      </c>
      <c r="H24" s="18">
        <v>2.5</v>
      </c>
      <c r="I24" s="19"/>
      <c r="J24" s="18">
        <f t="shared" si="0"/>
        <v>39.72</v>
      </c>
      <c r="K24" s="20">
        <v>22041</v>
      </c>
      <c r="L24" s="20">
        <v>50</v>
      </c>
      <c r="M24" s="21"/>
    </row>
    <row r="25" spans="1:15" ht="17.25" customHeight="1" x14ac:dyDescent="0.25">
      <c r="A25" s="22"/>
      <c r="B25" s="23"/>
      <c r="C25" s="15">
        <v>20</v>
      </c>
      <c r="D25" s="16" t="s">
        <v>35</v>
      </c>
      <c r="E25" s="24" t="s">
        <v>16</v>
      </c>
      <c r="F25" s="18">
        <v>6.04</v>
      </c>
      <c r="G25" s="18">
        <v>88.08</v>
      </c>
      <c r="H25" s="18">
        <v>2.95</v>
      </c>
      <c r="I25" s="19"/>
      <c r="J25" s="18">
        <f t="shared" si="0"/>
        <v>97.070000000000007</v>
      </c>
      <c r="K25" s="20">
        <v>56178</v>
      </c>
      <c r="L25" s="20">
        <v>105</v>
      </c>
      <c r="M25" s="21"/>
    </row>
    <row r="26" spans="1:15" ht="17.25" customHeight="1" x14ac:dyDescent="0.25">
      <c r="A26" s="22"/>
      <c r="B26" s="23"/>
      <c r="C26" s="15">
        <v>21</v>
      </c>
      <c r="D26" s="16" t="s">
        <v>36</v>
      </c>
      <c r="E26" s="24" t="s">
        <v>16</v>
      </c>
      <c r="F26" s="18">
        <v>3.11</v>
      </c>
      <c r="G26" s="18">
        <v>15.74</v>
      </c>
      <c r="H26" s="18">
        <v>1.98</v>
      </c>
      <c r="I26" s="19"/>
      <c r="J26" s="18">
        <v>20</v>
      </c>
      <c r="K26" s="20">
        <v>396</v>
      </c>
      <c r="L26" s="20">
        <v>54</v>
      </c>
      <c r="M26" s="21"/>
      <c r="O26" s="4">
        <v>620</v>
      </c>
    </row>
    <row r="27" spans="1:15" ht="17.25" customHeight="1" x14ac:dyDescent="0.25">
      <c r="A27" s="22"/>
      <c r="B27" s="23"/>
      <c r="C27" s="15">
        <v>22</v>
      </c>
      <c r="D27" s="16" t="s">
        <v>37</v>
      </c>
      <c r="E27" s="24" t="s">
        <v>16</v>
      </c>
      <c r="F27" s="18"/>
      <c r="G27" s="18">
        <v>2.9</v>
      </c>
      <c r="H27" s="18"/>
      <c r="I27" s="19"/>
      <c r="J27" s="18">
        <f t="shared" ref="J27:J35" si="1">SUM(F27:H27)</f>
        <v>2.9</v>
      </c>
      <c r="K27" s="20">
        <v>1179</v>
      </c>
      <c r="L27" s="20">
        <v>8</v>
      </c>
      <c r="M27" s="21"/>
    </row>
    <row r="28" spans="1:15" ht="17.25" customHeight="1" x14ac:dyDescent="0.25">
      <c r="A28" s="22"/>
      <c r="B28" s="23"/>
      <c r="C28" s="15">
        <v>23</v>
      </c>
      <c r="D28" s="16" t="s">
        <v>38</v>
      </c>
      <c r="E28" s="24" t="s">
        <v>16</v>
      </c>
      <c r="F28" s="18">
        <v>10.119999999999999</v>
      </c>
      <c r="G28" s="18">
        <v>18.52</v>
      </c>
      <c r="H28" s="18">
        <v>15.35</v>
      </c>
      <c r="I28" s="19"/>
      <c r="J28" s="18">
        <f t="shared" si="1"/>
        <v>43.99</v>
      </c>
      <c r="K28" s="20">
        <v>503</v>
      </c>
      <c r="L28" s="20">
        <v>40</v>
      </c>
      <c r="M28" s="21"/>
      <c r="O28" s="4">
        <v>625</v>
      </c>
    </row>
    <row r="29" spans="1:15" ht="17.25" customHeight="1" x14ac:dyDescent="0.25">
      <c r="A29" s="22"/>
      <c r="B29" s="23"/>
      <c r="C29" s="15">
        <v>24</v>
      </c>
      <c r="D29" s="16" t="s">
        <v>39</v>
      </c>
      <c r="E29" s="24" t="s">
        <v>16</v>
      </c>
      <c r="F29" s="18">
        <v>18.77</v>
      </c>
      <c r="G29" s="18">
        <v>38.99</v>
      </c>
      <c r="H29" s="18">
        <v>2.77</v>
      </c>
      <c r="I29" s="19"/>
      <c r="J29" s="18">
        <f t="shared" si="1"/>
        <v>60.530000000000008</v>
      </c>
      <c r="K29" s="20">
        <v>886</v>
      </c>
      <c r="L29" s="20">
        <v>108</v>
      </c>
      <c r="M29" s="21"/>
    </row>
    <row r="30" spans="1:15" ht="17.25" customHeight="1" x14ac:dyDescent="0.25">
      <c r="A30" s="22"/>
      <c r="B30" s="23"/>
      <c r="C30" s="15">
        <v>25</v>
      </c>
      <c r="D30" s="16" t="s">
        <v>40</v>
      </c>
      <c r="E30" s="24" t="s">
        <v>16</v>
      </c>
      <c r="F30" s="18">
        <v>1.03</v>
      </c>
      <c r="G30" s="18">
        <v>93.69</v>
      </c>
      <c r="H30" s="18">
        <v>0</v>
      </c>
      <c r="I30" s="19"/>
      <c r="J30" s="18">
        <f t="shared" si="1"/>
        <v>94.72</v>
      </c>
      <c r="K30" s="20">
        <v>56480</v>
      </c>
      <c r="L30" s="20">
        <v>109</v>
      </c>
      <c r="M30" s="21"/>
    </row>
    <row r="31" spans="1:15" ht="17.25" customHeight="1" x14ac:dyDescent="0.25">
      <c r="A31" s="22"/>
      <c r="B31" s="23"/>
      <c r="C31" s="15">
        <v>26</v>
      </c>
      <c r="D31" s="16" t="s">
        <v>41</v>
      </c>
      <c r="E31" s="24" t="s">
        <v>16</v>
      </c>
      <c r="F31" s="18">
        <v>0</v>
      </c>
      <c r="G31" s="18">
        <v>15.62</v>
      </c>
      <c r="H31" s="18">
        <v>0</v>
      </c>
      <c r="I31" s="19"/>
      <c r="J31" s="18">
        <f t="shared" si="1"/>
        <v>15.62</v>
      </c>
      <c r="K31" s="20">
        <v>8317</v>
      </c>
      <c r="L31" s="20">
        <v>179</v>
      </c>
      <c r="M31" s="21"/>
    </row>
    <row r="32" spans="1:15" ht="17.25" customHeight="1" x14ac:dyDescent="0.25">
      <c r="A32" s="22"/>
      <c r="B32" s="23"/>
      <c r="C32" s="15">
        <v>27</v>
      </c>
      <c r="D32" s="16" t="s">
        <v>42</v>
      </c>
      <c r="E32" s="24" t="s">
        <v>16</v>
      </c>
      <c r="F32" s="18">
        <v>0</v>
      </c>
      <c r="G32" s="18">
        <v>49.94</v>
      </c>
      <c r="H32" s="18">
        <v>42.47</v>
      </c>
      <c r="I32" s="19"/>
      <c r="J32" s="18">
        <f t="shared" si="1"/>
        <v>92.41</v>
      </c>
      <c r="K32" s="20">
        <v>30368</v>
      </c>
      <c r="L32" s="20">
        <v>179</v>
      </c>
      <c r="M32" s="21"/>
    </row>
    <row r="33" spans="1:15" ht="17.25" customHeight="1" x14ac:dyDescent="0.25">
      <c r="A33" s="22"/>
      <c r="B33" s="23"/>
      <c r="C33" s="15">
        <v>28</v>
      </c>
      <c r="D33" s="16" t="s">
        <v>43</v>
      </c>
      <c r="E33" s="24" t="s">
        <v>16</v>
      </c>
      <c r="F33" s="18">
        <v>9.08</v>
      </c>
      <c r="G33" s="18">
        <v>20.7</v>
      </c>
      <c r="H33" s="18">
        <v>7</v>
      </c>
      <c r="I33" s="19"/>
      <c r="J33" s="18">
        <f t="shared" si="1"/>
        <v>36.78</v>
      </c>
      <c r="K33" s="20">
        <v>11565</v>
      </c>
      <c r="L33" s="25">
        <v>18</v>
      </c>
      <c r="M33" s="21"/>
    </row>
    <row r="34" spans="1:15" ht="17.25" customHeight="1" x14ac:dyDescent="0.25">
      <c r="A34" s="22"/>
      <c r="B34" s="23"/>
      <c r="C34" s="15">
        <v>29</v>
      </c>
      <c r="D34" s="16" t="s">
        <v>44</v>
      </c>
      <c r="E34" s="24" t="s">
        <v>16</v>
      </c>
      <c r="F34" s="18">
        <v>0</v>
      </c>
      <c r="G34" s="18">
        <v>75.69</v>
      </c>
      <c r="H34" s="18">
        <v>122</v>
      </c>
      <c r="I34" s="19"/>
      <c r="J34" s="18">
        <f t="shared" si="1"/>
        <v>197.69</v>
      </c>
      <c r="K34" s="20">
        <v>45606</v>
      </c>
      <c r="L34" s="20">
        <v>390</v>
      </c>
      <c r="M34" s="21"/>
    </row>
    <row r="35" spans="1:15" ht="17.25" customHeight="1" x14ac:dyDescent="0.25">
      <c r="A35" s="22"/>
      <c r="B35" s="23"/>
      <c r="C35" s="15">
        <v>30</v>
      </c>
      <c r="D35" s="16" t="s">
        <v>45</v>
      </c>
      <c r="E35" s="24" t="s">
        <v>16</v>
      </c>
      <c r="F35" s="18">
        <v>20.27</v>
      </c>
      <c r="G35" s="26">
        <v>54.65</v>
      </c>
      <c r="H35" s="18">
        <v>24.88</v>
      </c>
      <c r="I35" s="19"/>
      <c r="J35" s="18">
        <f t="shared" si="1"/>
        <v>99.8</v>
      </c>
      <c r="K35" s="20">
        <v>33204</v>
      </c>
      <c r="L35" s="20">
        <v>142</v>
      </c>
      <c r="M35" s="21"/>
      <c r="N35" s="27">
        <v>4957</v>
      </c>
    </row>
    <row r="36" spans="1:15" ht="17.25" customHeight="1" x14ac:dyDescent="0.25">
      <c r="A36" s="96" t="s">
        <v>46</v>
      </c>
      <c r="B36" s="96"/>
      <c r="C36" s="96"/>
      <c r="D36" s="96"/>
      <c r="E36" s="28"/>
      <c r="F36" s="29">
        <f>SUM(F6:F35)</f>
        <v>587.26</v>
      </c>
      <c r="G36" s="29">
        <f>SUM(G6:G35)</f>
        <v>2987.72</v>
      </c>
      <c r="H36" s="29">
        <f>SUM(H6:H35)</f>
        <v>583.17000000000007</v>
      </c>
      <c r="I36" s="29"/>
      <c r="J36" s="30">
        <f>SUM(J6:J35)</f>
        <v>4157.32</v>
      </c>
      <c r="K36" s="31">
        <f>SUM(K6:K35)</f>
        <v>1211442</v>
      </c>
      <c r="L36" s="31">
        <f>SUM(L6:L35)</f>
        <v>4464</v>
      </c>
      <c r="M36" s="32"/>
      <c r="N36" s="33">
        <v>1110</v>
      </c>
      <c r="O36" s="34"/>
    </row>
    <row r="37" spans="1:15" ht="17.25" customHeight="1" x14ac:dyDescent="0.25">
      <c r="A37" s="35" t="s">
        <v>47</v>
      </c>
      <c r="B37" s="36" t="s">
        <v>48</v>
      </c>
      <c r="C37" s="15">
        <v>31</v>
      </c>
      <c r="D37" s="37" t="s">
        <v>49</v>
      </c>
      <c r="E37" s="24" t="s">
        <v>16</v>
      </c>
      <c r="F37" s="18">
        <v>35.299999999999997</v>
      </c>
      <c r="G37" s="18">
        <v>432.83</v>
      </c>
      <c r="H37" s="18">
        <v>26.16</v>
      </c>
      <c r="I37" s="38">
        <f t="shared" ref="I37:I63" si="2">SUM(F37:H37)</f>
        <v>494.29</v>
      </c>
      <c r="J37" s="18">
        <f t="shared" ref="J37:J63" si="3">SUM(F37:H37)</f>
        <v>494.29</v>
      </c>
      <c r="K37" s="39">
        <v>288339</v>
      </c>
      <c r="L37" s="40">
        <v>289</v>
      </c>
      <c r="M37" s="41"/>
      <c r="N37" s="4" t="str">
        <f t="shared" ref="N37:N63" si="4">LOWER(D37)</f>
        <v>buntul peteri</v>
      </c>
    </row>
    <row r="38" spans="1:15" ht="17.25" customHeight="1" x14ac:dyDescent="0.25">
      <c r="A38" s="35"/>
      <c r="B38" s="42"/>
      <c r="C38" s="15">
        <v>32</v>
      </c>
      <c r="D38" s="37" t="s">
        <v>50</v>
      </c>
      <c r="E38" s="24" t="s">
        <v>16</v>
      </c>
      <c r="F38" s="18">
        <v>10.16</v>
      </c>
      <c r="G38" s="18">
        <v>189.03</v>
      </c>
      <c r="H38" s="18">
        <v>21.45</v>
      </c>
      <c r="I38" s="38">
        <f t="shared" si="2"/>
        <v>220.64</v>
      </c>
      <c r="J38" s="18">
        <f t="shared" si="3"/>
        <v>220.64</v>
      </c>
      <c r="K38" s="20">
        <v>130190</v>
      </c>
      <c r="L38" s="40">
        <v>136</v>
      </c>
      <c r="M38" s="41"/>
      <c r="N38" s="4" t="str">
        <f t="shared" si="4"/>
        <v>bale musara</v>
      </c>
    </row>
    <row r="39" spans="1:15" ht="17.25" customHeight="1" x14ac:dyDescent="0.25">
      <c r="A39" s="35"/>
      <c r="B39" s="42"/>
      <c r="C39" s="15">
        <v>33</v>
      </c>
      <c r="D39" s="37" t="s">
        <v>51</v>
      </c>
      <c r="E39" s="24" t="s">
        <v>16</v>
      </c>
      <c r="F39" s="43">
        <v>10.4</v>
      </c>
      <c r="G39" s="43">
        <v>297.95999999999998</v>
      </c>
      <c r="H39" s="43">
        <v>7.97</v>
      </c>
      <c r="I39" s="38">
        <f t="shared" si="2"/>
        <v>316.33</v>
      </c>
      <c r="J39" s="18">
        <f t="shared" si="3"/>
        <v>316.33</v>
      </c>
      <c r="K39" s="40">
        <v>207047</v>
      </c>
      <c r="L39" s="40">
        <v>218</v>
      </c>
      <c r="M39" s="41"/>
      <c r="N39" s="4" t="str">
        <f t="shared" si="4"/>
        <v>jungke</v>
      </c>
    </row>
    <row r="40" spans="1:15" ht="17.25" customHeight="1" x14ac:dyDescent="0.25">
      <c r="A40" s="35"/>
      <c r="B40" s="42"/>
      <c r="C40" s="15">
        <v>34</v>
      </c>
      <c r="D40" s="37" t="s">
        <v>52</v>
      </c>
      <c r="E40" s="24" t="s">
        <v>16</v>
      </c>
      <c r="F40" s="43">
        <v>20.38</v>
      </c>
      <c r="G40" s="43">
        <v>124.95</v>
      </c>
      <c r="H40" s="43">
        <v>13.11</v>
      </c>
      <c r="I40" s="38">
        <f t="shared" si="2"/>
        <v>158.44</v>
      </c>
      <c r="J40" s="18">
        <f t="shared" si="3"/>
        <v>158.44</v>
      </c>
      <c r="K40" s="40">
        <v>86199</v>
      </c>
      <c r="L40" s="40">
        <v>200</v>
      </c>
      <c r="M40" s="41"/>
      <c r="N40" s="4" t="str">
        <f t="shared" si="4"/>
        <v>kepies</v>
      </c>
    </row>
    <row r="41" spans="1:15" ht="17.25" customHeight="1" x14ac:dyDescent="0.25">
      <c r="A41" s="35"/>
      <c r="B41" s="42"/>
      <c r="C41" s="15">
        <v>35</v>
      </c>
      <c r="D41" s="37" t="s">
        <v>53</v>
      </c>
      <c r="E41" s="24" t="s">
        <v>16</v>
      </c>
      <c r="F41" s="43">
        <v>207.19</v>
      </c>
      <c r="G41" s="43">
        <v>791.2</v>
      </c>
      <c r="H41" s="43">
        <v>97.9</v>
      </c>
      <c r="I41" s="38">
        <f t="shared" si="2"/>
        <v>1096.2900000000002</v>
      </c>
      <c r="J41" s="18">
        <f t="shared" si="3"/>
        <v>1096.2900000000002</v>
      </c>
      <c r="K41" s="40">
        <v>528003</v>
      </c>
      <c r="L41" s="40">
        <v>1912</v>
      </c>
      <c r="M41" s="41"/>
      <c r="N41" s="4" t="str">
        <f t="shared" si="4"/>
        <v>seni antara</v>
      </c>
    </row>
    <row r="42" spans="1:15" ht="17.25" customHeight="1" x14ac:dyDescent="0.25">
      <c r="A42" s="35"/>
      <c r="B42" s="42"/>
      <c r="C42" s="15">
        <v>36</v>
      </c>
      <c r="D42" s="37" t="s">
        <v>54</v>
      </c>
      <c r="E42" s="24" t="s">
        <v>16</v>
      </c>
      <c r="F42" s="18">
        <v>51.24</v>
      </c>
      <c r="G42" s="18">
        <v>486.47</v>
      </c>
      <c r="H42" s="18">
        <v>241.32</v>
      </c>
      <c r="I42" s="38">
        <f t="shared" si="2"/>
        <v>779.03</v>
      </c>
      <c r="J42" s="18">
        <f t="shared" si="3"/>
        <v>779.03</v>
      </c>
      <c r="K42" s="40">
        <v>326502</v>
      </c>
      <c r="L42" s="20">
        <v>548</v>
      </c>
      <c r="M42" s="41"/>
      <c r="N42" s="4" t="str">
        <f t="shared" si="4"/>
        <v>pantan tengah jaya</v>
      </c>
    </row>
    <row r="43" spans="1:15" ht="17.25" customHeight="1" x14ac:dyDescent="0.25">
      <c r="A43" s="35"/>
      <c r="B43" s="42"/>
      <c r="C43" s="15">
        <v>37</v>
      </c>
      <c r="D43" s="37" t="s">
        <v>55</v>
      </c>
      <c r="E43" s="24" t="s">
        <v>16</v>
      </c>
      <c r="F43" s="18">
        <v>20.440000000000001</v>
      </c>
      <c r="G43" s="18">
        <v>160.27000000000001</v>
      </c>
      <c r="H43" s="18">
        <v>94.79</v>
      </c>
      <c r="I43" s="38">
        <f t="shared" si="2"/>
        <v>275.5</v>
      </c>
      <c r="J43" s="18">
        <f t="shared" si="3"/>
        <v>275.5</v>
      </c>
      <c r="K43" s="40">
        <v>109356</v>
      </c>
      <c r="L43" s="20">
        <v>62</v>
      </c>
      <c r="M43" s="41"/>
      <c r="N43" s="4" t="str">
        <f t="shared" si="4"/>
        <v>ayu ara</v>
      </c>
    </row>
    <row r="44" spans="1:15" ht="17.25" customHeight="1" x14ac:dyDescent="0.25">
      <c r="A44" s="35"/>
      <c r="B44" s="42"/>
      <c r="C44" s="15">
        <v>38</v>
      </c>
      <c r="D44" s="37" t="s">
        <v>56</v>
      </c>
      <c r="E44" s="24" t="s">
        <v>16</v>
      </c>
      <c r="F44" s="18">
        <v>74.94</v>
      </c>
      <c r="G44" s="18">
        <v>376.29</v>
      </c>
      <c r="H44" s="18">
        <v>72.33</v>
      </c>
      <c r="I44" s="38">
        <f t="shared" si="2"/>
        <v>523.56000000000006</v>
      </c>
      <c r="J44" s="18">
        <f t="shared" si="3"/>
        <v>523.56000000000006</v>
      </c>
      <c r="K44" s="40">
        <v>255184</v>
      </c>
      <c r="L44" s="20">
        <v>137</v>
      </c>
      <c r="M44" s="41"/>
      <c r="N44" s="4" t="str">
        <f t="shared" si="4"/>
        <v>rikit musara</v>
      </c>
    </row>
    <row r="45" spans="1:15" ht="17.25" customHeight="1" x14ac:dyDescent="0.25">
      <c r="A45" s="35"/>
      <c r="B45" s="42"/>
      <c r="C45" s="15">
        <v>39</v>
      </c>
      <c r="D45" s="44" t="s">
        <v>57</v>
      </c>
      <c r="E45" s="24" t="s">
        <v>16</v>
      </c>
      <c r="F45" s="18">
        <v>25.45</v>
      </c>
      <c r="G45" s="18">
        <v>267.91000000000003</v>
      </c>
      <c r="H45" s="18">
        <v>85.2</v>
      </c>
      <c r="I45" s="38">
        <f t="shared" si="2"/>
        <v>378.56</v>
      </c>
      <c r="J45" s="18">
        <f t="shared" si="3"/>
        <v>378.56</v>
      </c>
      <c r="K45" s="20">
        <v>185544</v>
      </c>
      <c r="L45" s="20">
        <v>241</v>
      </c>
      <c r="M45" s="41"/>
      <c r="N45" s="4" t="str">
        <f t="shared" si="4"/>
        <v>suku sara tangke</v>
      </c>
    </row>
    <row r="46" spans="1:15" ht="17.25" customHeight="1" x14ac:dyDescent="0.25">
      <c r="A46" s="35"/>
      <c r="B46" s="42"/>
      <c r="C46" s="15">
        <v>40</v>
      </c>
      <c r="D46" s="44" t="s">
        <v>58</v>
      </c>
      <c r="E46" s="24" t="s">
        <v>16</v>
      </c>
      <c r="F46" s="18">
        <v>0</v>
      </c>
      <c r="G46" s="18">
        <v>201.61</v>
      </c>
      <c r="H46" s="18">
        <v>9.59</v>
      </c>
      <c r="I46" s="38">
        <f t="shared" si="2"/>
        <v>211.20000000000002</v>
      </c>
      <c r="J46" s="18">
        <f t="shared" si="3"/>
        <v>211.20000000000002</v>
      </c>
      <c r="K46" s="20">
        <v>137087</v>
      </c>
      <c r="L46" s="20">
        <v>250</v>
      </c>
      <c r="M46" s="41"/>
      <c r="N46" s="4" t="str">
        <f t="shared" si="4"/>
        <v>ramung jaya</v>
      </c>
    </row>
    <row r="47" spans="1:15" ht="17.25" customHeight="1" x14ac:dyDescent="0.25">
      <c r="A47" s="35"/>
      <c r="B47" s="42"/>
      <c r="C47" s="15">
        <v>41</v>
      </c>
      <c r="D47" s="44" t="s">
        <v>59</v>
      </c>
      <c r="E47" s="24" t="s">
        <v>16</v>
      </c>
      <c r="F47" s="18">
        <v>77.55</v>
      </c>
      <c r="G47" s="18">
        <v>374.43</v>
      </c>
      <c r="H47" s="18">
        <v>206.15</v>
      </c>
      <c r="I47" s="38">
        <f t="shared" si="2"/>
        <v>658.13</v>
      </c>
      <c r="J47" s="18">
        <f t="shared" si="3"/>
        <v>658.13</v>
      </c>
      <c r="K47" s="20">
        <v>249616</v>
      </c>
      <c r="L47" s="20">
        <v>166</v>
      </c>
      <c r="M47" s="41"/>
      <c r="N47" s="4" t="str">
        <f t="shared" si="4"/>
        <v>timur jaya</v>
      </c>
    </row>
    <row r="48" spans="1:15" ht="17.25" customHeight="1" x14ac:dyDescent="0.25">
      <c r="A48" s="35"/>
      <c r="B48" s="42"/>
      <c r="C48" s="15">
        <v>42</v>
      </c>
      <c r="D48" s="44" t="s">
        <v>60</v>
      </c>
      <c r="E48" s="24" t="s">
        <v>16</v>
      </c>
      <c r="F48" s="18">
        <v>4.0199999999999996</v>
      </c>
      <c r="G48" s="18">
        <v>111.97</v>
      </c>
      <c r="H48" s="18">
        <v>5.97</v>
      </c>
      <c r="I48" s="38">
        <f t="shared" si="2"/>
        <v>121.96</v>
      </c>
      <c r="J48" s="18">
        <f t="shared" si="3"/>
        <v>121.96</v>
      </c>
      <c r="K48" s="20">
        <v>75580</v>
      </c>
      <c r="L48" s="20">
        <v>58</v>
      </c>
      <c r="M48" s="41"/>
      <c r="N48" s="4" t="str">
        <f t="shared" si="4"/>
        <v>ceding ayu</v>
      </c>
    </row>
    <row r="49" spans="1:14" ht="17.25" customHeight="1" x14ac:dyDescent="0.25">
      <c r="A49" s="35"/>
      <c r="B49" s="42"/>
      <c r="C49" s="15">
        <v>43</v>
      </c>
      <c r="D49" s="37" t="s">
        <v>61</v>
      </c>
      <c r="E49" s="24" t="s">
        <v>16</v>
      </c>
      <c r="F49" s="18">
        <v>2.0699999999999998</v>
      </c>
      <c r="G49" s="18">
        <v>103.13</v>
      </c>
      <c r="H49" s="18">
        <v>5.88</v>
      </c>
      <c r="I49" s="38">
        <f t="shared" si="2"/>
        <v>111.07999999999998</v>
      </c>
      <c r="J49" s="18">
        <f t="shared" si="3"/>
        <v>111.07999999999998</v>
      </c>
      <c r="K49" s="20">
        <v>70506</v>
      </c>
      <c r="L49" s="40">
        <v>246</v>
      </c>
      <c r="M49" s="41"/>
      <c r="N49" s="4" t="str">
        <f t="shared" si="4"/>
        <v>darul aman</v>
      </c>
    </row>
    <row r="50" spans="1:14" ht="17.25" customHeight="1" x14ac:dyDescent="0.25">
      <c r="A50" s="35"/>
      <c r="B50" s="42"/>
      <c r="C50" s="15">
        <v>44</v>
      </c>
      <c r="D50" s="37" t="s">
        <v>62</v>
      </c>
      <c r="E50" s="24" t="s">
        <v>16</v>
      </c>
      <c r="F50" s="43">
        <v>24.38</v>
      </c>
      <c r="G50" s="43">
        <v>370.83</v>
      </c>
      <c r="H50" s="43">
        <v>20.74</v>
      </c>
      <c r="I50" s="38">
        <f t="shared" si="2"/>
        <v>415.95</v>
      </c>
      <c r="J50" s="18">
        <f t="shared" si="3"/>
        <v>415.95</v>
      </c>
      <c r="K50" s="40">
        <v>247110</v>
      </c>
      <c r="L50" s="40">
        <v>331</v>
      </c>
      <c r="M50" s="41"/>
      <c r="N50" s="4" t="str">
        <f t="shared" si="4"/>
        <v>burni pase</v>
      </c>
    </row>
    <row r="51" spans="1:14" ht="17.25" customHeight="1" x14ac:dyDescent="0.25">
      <c r="A51" s="35"/>
      <c r="B51" s="42"/>
      <c r="C51" s="15">
        <v>45</v>
      </c>
      <c r="D51" s="37" t="s">
        <v>63</v>
      </c>
      <c r="E51" s="24" t="s">
        <v>16</v>
      </c>
      <c r="F51" s="43">
        <v>12.4</v>
      </c>
      <c r="G51" s="43">
        <v>1150.6099999999999</v>
      </c>
      <c r="H51" s="43">
        <v>7.85</v>
      </c>
      <c r="I51" s="38">
        <f t="shared" si="2"/>
        <v>1170.8599999999999</v>
      </c>
      <c r="J51" s="18">
        <f t="shared" si="3"/>
        <v>1170.8599999999999</v>
      </c>
      <c r="K51" s="40">
        <v>775087</v>
      </c>
      <c r="L51" s="40">
        <v>1452</v>
      </c>
      <c r="M51" s="45"/>
      <c r="N51" s="4" t="str">
        <f t="shared" si="4"/>
        <v>wih tenang uken</v>
      </c>
    </row>
    <row r="52" spans="1:14" ht="17.25" customHeight="1" x14ac:dyDescent="0.25">
      <c r="A52" s="35"/>
      <c r="B52" s="42"/>
      <c r="C52" s="15">
        <v>46</v>
      </c>
      <c r="D52" s="37" t="s">
        <v>64</v>
      </c>
      <c r="E52" s="24" t="s">
        <v>16</v>
      </c>
      <c r="F52" s="18">
        <v>31.07</v>
      </c>
      <c r="G52" s="18">
        <v>297.2</v>
      </c>
      <c r="H52" s="18">
        <v>69.37</v>
      </c>
      <c r="I52" s="38">
        <f t="shared" si="2"/>
        <v>397.64</v>
      </c>
      <c r="J52" s="18">
        <f t="shared" si="3"/>
        <v>397.64</v>
      </c>
      <c r="K52" s="40">
        <v>205276</v>
      </c>
      <c r="L52" s="20">
        <v>841</v>
      </c>
      <c r="M52" s="41"/>
      <c r="N52" s="4" t="str">
        <f t="shared" si="4"/>
        <v>bintang permata</v>
      </c>
    </row>
    <row r="53" spans="1:14" ht="17.25" customHeight="1" x14ac:dyDescent="0.25">
      <c r="A53" s="35"/>
      <c r="B53" s="42"/>
      <c r="C53" s="15">
        <v>47</v>
      </c>
      <c r="D53" s="37" t="s">
        <v>65</v>
      </c>
      <c r="E53" s="24" t="s">
        <v>16</v>
      </c>
      <c r="F53" s="18">
        <v>6.19</v>
      </c>
      <c r="G53" s="18">
        <v>110.71</v>
      </c>
      <c r="H53" s="18">
        <v>6.89</v>
      </c>
      <c r="I53" s="38">
        <f t="shared" si="2"/>
        <v>123.78999999999999</v>
      </c>
      <c r="J53" s="18">
        <f t="shared" si="3"/>
        <v>123.78999999999999</v>
      </c>
      <c r="K53" s="20">
        <v>73910</v>
      </c>
      <c r="L53" s="20">
        <v>69</v>
      </c>
      <c r="M53" s="41"/>
      <c r="N53" s="4" t="str">
        <f t="shared" si="4"/>
        <v>uning sejuk</v>
      </c>
    </row>
    <row r="54" spans="1:14" ht="17.25" customHeight="1" x14ac:dyDescent="0.25">
      <c r="A54" s="35"/>
      <c r="B54" s="42"/>
      <c r="C54" s="15">
        <v>48</v>
      </c>
      <c r="D54" s="37" t="s">
        <v>66</v>
      </c>
      <c r="E54" s="24" t="s">
        <v>16</v>
      </c>
      <c r="F54" s="18">
        <v>20.63</v>
      </c>
      <c r="G54" s="18">
        <v>95.21</v>
      </c>
      <c r="H54" s="18">
        <v>9.83</v>
      </c>
      <c r="I54" s="38">
        <f t="shared" si="2"/>
        <v>125.66999999999999</v>
      </c>
      <c r="J54" s="18">
        <f t="shared" si="3"/>
        <v>125.66999999999999</v>
      </c>
      <c r="K54" s="20">
        <v>64327</v>
      </c>
      <c r="L54" s="20">
        <v>107</v>
      </c>
      <c r="M54" s="41"/>
      <c r="N54" s="4" t="str">
        <f t="shared" si="4"/>
        <v>wih tenang toa/bakongan baru</v>
      </c>
    </row>
    <row r="55" spans="1:14" ht="17.25" customHeight="1" x14ac:dyDescent="0.25">
      <c r="A55" s="35"/>
      <c r="B55" s="42"/>
      <c r="C55" s="15">
        <v>49</v>
      </c>
      <c r="D55" s="37" t="s">
        <v>67</v>
      </c>
      <c r="E55" s="24" t="s">
        <v>16</v>
      </c>
      <c r="F55" s="18">
        <v>12.48</v>
      </c>
      <c r="G55" s="18">
        <v>358.14</v>
      </c>
      <c r="H55" s="18">
        <v>9.6300000000000008</v>
      </c>
      <c r="I55" s="38">
        <f t="shared" si="2"/>
        <v>380.25</v>
      </c>
      <c r="J55" s="18">
        <f t="shared" si="3"/>
        <v>380.25</v>
      </c>
      <c r="K55" s="20">
        <v>238045</v>
      </c>
      <c r="L55" s="20">
        <v>310</v>
      </c>
      <c r="M55" s="41"/>
      <c r="N55" s="4" t="str">
        <f t="shared" si="4"/>
        <v>jelobok</v>
      </c>
    </row>
    <row r="56" spans="1:14" ht="17.25" customHeight="1" x14ac:dyDescent="0.25">
      <c r="A56" s="35"/>
      <c r="B56" s="42"/>
      <c r="C56" s="15">
        <v>50</v>
      </c>
      <c r="D56" s="37" t="s">
        <v>68</v>
      </c>
      <c r="E56" s="24" t="s">
        <v>16</v>
      </c>
      <c r="F56" s="18">
        <v>113.81</v>
      </c>
      <c r="G56" s="18">
        <v>480.65</v>
      </c>
      <c r="H56" s="18">
        <v>120.28</v>
      </c>
      <c r="I56" s="38">
        <f t="shared" si="2"/>
        <v>714.74</v>
      </c>
      <c r="J56" s="18">
        <f t="shared" si="3"/>
        <v>714.74</v>
      </c>
      <c r="K56" s="20">
        <v>325334</v>
      </c>
      <c r="L56" s="20">
        <v>429</v>
      </c>
      <c r="M56" s="41"/>
      <c r="N56" s="4" t="str">
        <f t="shared" si="4"/>
        <v>penosan jaya</v>
      </c>
    </row>
    <row r="57" spans="1:14" ht="17.25" customHeight="1" x14ac:dyDescent="0.25">
      <c r="A57" s="35"/>
      <c r="B57" s="42"/>
      <c r="C57" s="15">
        <v>51</v>
      </c>
      <c r="D57" s="44" t="s">
        <v>69</v>
      </c>
      <c r="E57" s="24" t="s">
        <v>16</v>
      </c>
      <c r="F57" s="18">
        <v>5.09</v>
      </c>
      <c r="G57" s="18">
        <v>248.87</v>
      </c>
      <c r="H57" s="18">
        <v>15.17</v>
      </c>
      <c r="I57" s="38">
        <f t="shared" si="2"/>
        <v>269.13</v>
      </c>
      <c r="J57" s="18">
        <f t="shared" si="3"/>
        <v>269.13</v>
      </c>
      <c r="K57" s="20">
        <v>166068</v>
      </c>
      <c r="L57" s="20">
        <v>353</v>
      </c>
      <c r="M57" s="41"/>
      <c r="N57" s="4" t="str">
        <f t="shared" si="4"/>
        <v>bener pepanyi</v>
      </c>
    </row>
    <row r="58" spans="1:14" ht="17.25" customHeight="1" x14ac:dyDescent="0.25">
      <c r="A58" s="35"/>
      <c r="B58" s="42"/>
      <c r="C58" s="15">
        <v>52</v>
      </c>
      <c r="D58" s="44" t="s">
        <v>70</v>
      </c>
      <c r="E58" s="24" t="s">
        <v>16</v>
      </c>
      <c r="F58" s="18">
        <v>48.96</v>
      </c>
      <c r="G58" s="18">
        <v>481.65</v>
      </c>
      <c r="H58" s="18">
        <v>70.94</v>
      </c>
      <c r="I58" s="38">
        <f t="shared" si="2"/>
        <v>601.54999999999995</v>
      </c>
      <c r="J58" s="18">
        <f t="shared" si="3"/>
        <v>601.54999999999995</v>
      </c>
      <c r="K58" s="20">
        <v>327193</v>
      </c>
      <c r="L58" s="20">
        <v>434</v>
      </c>
      <c r="M58" s="41"/>
      <c r="N58" s="4" t="str">
        <f t="shared" si="4"/>
        <v>bintang bener</v>
      </c>
    </row>
    <row r="59" spans="1:14" ht="17.25" customHeight="1" x14ac:dyDescent="0.25">
      <c r="A59" s="35"/>
      <c r="B59" s="42"/>
      <c r="C59" s="15">
        <v>53</v>
      </c>
      <c r="D59" s="44" t="s">
        <v>71</v>
      </c>
      <c r="E59" s="24" t="s">
        <v>16</v>
      </c>
      <c r="F59" s="18">
        <v>9.1300000000000008</v>
      </c>
      <c r="G59" s="18">
        <v>54.23</v>
      </c>
      <c r="H59" s="18">
        <v>36.869999999999997</v>
      </c>
      <c r="I59" s="38">
        <f t="shared" si="2"/>
        <v>100.22999999999999</v>
      </c>
      <c r="J59" s="18">
        <f t="shared" si="3"/>
        <v>100.22999999999999</v>
      </c>
      <c r="K59" s="20">
        <v>36986</v>
      </c>
      <c r="L59" s="20">
        <v>150</v>
      </c>
      <c r="M59" s="41"/>
      <c r="N59" s="4" t="str">
        <f t="shared" si="4"/>
        <v>pemango</v>
      </c>
    </row>
    <row r="60" spans="1:14" ht="17.25" customHeight="1" x14ac:dyDescent="0.25">
      <c r="A60" s="35"/>
      <c r="B60" s="42"/>
      <c r="C60" s="15">
        <v>54</v>
      </c>
      <c r="D60" s="44" t="s">
        <v>72</v>
      </c>
      <c r="E60" s="24" t="s">
        <v>16</v>
      </c>
      <c r="F60" s="18">
        <v>8.1199999999999992</v>
      </c>
      <c r="G60" s="18">
        <v>119.81</v>
      </c>
      <c r="H60" s="18">
        <v>31.83</v>
      </c>
      <c r="I60" s="38">
        <f t="shared" si="2"/>
        <v>159.76</v>
      </c>
      <c r="J60" s="18">
        <f t="shared" si="3"/>
        <v>159.76</v>
      </c>
      <c r="K60" s="20">
        <v>80413</v>
      </c>
      <c r="L60" s="20">
        <v>538</v>
      </c>
      <c r="M60" s="41"/>
      <c r="N60" s="4" t="str">
        <f t="shared" si="4"/>
        <v>gelampang wih tenang uken</v>
      </c>
    </row>
    <row r="61" spans="1:14" ht="17.25" customHeight="1" x14ac:dyDescent="0.25">
      <c r="A61" s="35"/>
      <c r="B61" s="42"/>
      <c r="C61" s="15">
        <v>55</v>
      </c>
      <c r="D61" s="44" t="s">
        <v>73</v>
      </c>
      <c r="E61" s="24" t="s">
        <v>16</v>
      </c>
      <c r="F61" s="18">
        <v>37.64</v>
      </c>
      <c r="G61" s="18">
        <v>249.14</v>
      </c>
      <c r="H61" s="18">
        <v>73.89</v>
      </c>
      <c r="I61" s="38">
        <f t="shared" si="2"/>
        <v>360.66999999999996</v>
      </c>
      <c r="J61" s="18">
        <f t="shared" si="3"/>
        <v>360.66999999999996</v>
      </c>
      <c r="K61" s="20">
        <v>166303</v>
      </c>
      <c r="L61" s="20">
        <v>71</v>
      </c>
      <c r="M61" s="41"/>
      <c r="N61" s="4" t="str">
        <f t="shared" si="4"/>
        <v>bale purnama</v>
      </c>
    </row>
    <row r="62" spans="1:14" ht="17.25" customHeight="1" x14ac:dyDescent="0.25">
      <c r="A62" s="35"/>
      <c r="B62" s="42"/>
      <c r="C62" s="15">
        <v>56</v>
      </c>
      <c r="D62" s="37" t="s">
        <v>74</v>
      </c>
      <c r="E62" s="24" t="s">
        <v>16</v>
      </c>
      <c r="F62" s="18">
        <v>207.43</v>
      </c>
      <c r="G62" s="18">
        <v>486.78</v>
      </c>
      <c r="H62" s="18">
        <v>48.89</v>
      </c>
      <c r="I62" s="38">
        <f t="shared" si="2"/>
        <v>743.1</v>
      </c>
      <c r="J62" s="18">
        <f t="shared" si="3"/>
        <v>743.1</v>
      </c>
      <c r="K62" s="20">
        <v>325846</v>
      </c>
      <c r="L62" s="20">
        <v>484</v>
      </c>
      <c r="M62" s="41"/>
      <c r="N62" s="4" t="str">
        <f t="shared" si="4"/>
        <v>temas mumanang</v>
      </c>
    </row>
    <row r="63" spans="1:14" ht="17.25" customHeight="1" x14ac:dyDescent="0.25">
      <c r="A63" s="35"/>
      <c r="B63" s="42"/>
      <c r="C63" s="15">
        <v>57</v>
      </c>
      <c r="D63" s="37" t="s">
        <v>75</v>
      </c>
      <c r="E63" s="24" t="s">
        <v>16</v>
      </c>
      <c r="F63" s="18">
        <v>10.3</v>
      </c>
      <c r="G63" s="18">
        <v>147.24</v>
      </c>
      <c r="H63" s="18">
        <v>19.55</v>
      </c>
      <c r="I63" s="38">
        <f t="shared" si="2"/>
        <v>177.09000000000003</v>
      </c>
      <c r="J63" s="18">
        <f t="shared" si="3"/>
        <v>177.09000000000003</v>
      </c>
      <c r="K63" s="20">
        <v>98465</v>
      </c>
      <c r="L63" s="20">
        <v>194</v>
      </c>
      <c r="M63" s="41"/>
      <c r="N63" s="4" t="str">
        <f t="shared" si="4"/>
        <v>tawar bengi</v>
      </c>
    </row>
    <row r="64" spans="1:14" ht="17.25" customHeight="1" x14ac:dyDescent="0.25">
      <c r="A64" s="96" t="s">
        <v>46</v>
      </c>
      <c r="B64" s="96"/>
      <c r="C64" s="96"/>
      <c r="D64" s="96"/>
      <c r="E64" s="28"/>
      <c r="F64" s="29">
        <f>SUM(F37:F63)</f>
        <v>1086.7700000000002</v>
      </c>
      <c r="G64" s="29">
        <f>SUM(G37:G63)</f>
        <v>8569.119999999999</v>
      </c>
      <c r="H64" s="29">
        <f>SUM(H37:H63)</f>
        <v>1429.5500000000002</v>
      </c>
      <c r="I64" s="29"/>
      <c r="J64" s="30">
        <f>SUM(J37:J63)</f>
        <v>11085.439999999999</v>
      </c>
      <c r="K64" s="31">
        <f>SUM(K37:K63)</f>
        <v>5779516</v>
      </c>
      <c r="L64" s="31">
        <f>SUM(L37:L63)</f>
        <v>10226</v>
      </c>
      <c r="M64" s="32"/>
    </row>
    <row r="65" spans="1:13" ht="17.25" customHeight="1" x14ac:dyDescent="0.25">
      <c r="A65" s="35" t="s">
        <v>76</v>
      </c>
      <c r="B65" s="36" t="s">
        <v>77</v>
      </c>
      <c r="C65" s="15">
        <v>58</v>
      </c>
      <c r="D65" s="46" t="s">
        <v>78</v>
      </c>
      <c r="E65" s="24" t="s">
        <v>16</v>
      </c>
      <c r="F65" s="43">
        <v>4.03</v>
      </c>
      <c r="G65" s="43">
        <v>391.43</v>
      </c>
      <c r="H65" s="43">
        <v>2</v>
      </c>
      <c r="I65" s="47"/>
      <c r="J65" s="18">
        <f t="shared" ref="J65:J79" si="5">SUM(F65:H65)</f>
        <v>397.46</v>
      </c>
      <c r="K65" s="20">
        <v>277659</v>
      </c>
      <c r="L65" s="48">
        <v>218</v>
      </c>
      <c r="M65" s="49"/>
    </row>
    <row r="66" spans="1:13" ht="17.25" customHeight="1" x14ac:dyDescent="0.25">
      <c r="A66" s="35"/>
      <c r="B66" s="42"/>
      <c r="C66" s="15">
        <v>59</v>
      </c>
      <c r="D66" s="46" t="s">
        <v>79</v>
      </c>
      <c r="E66" s="24" t="s">
        <v>16</v>
      </c>
      <c r="F66" s="43">
        <v>6.06</v>
      </c>
      <c r="G66" s="43">
        <v>191.09</v>
      </c>
      <c r="H66" s="43">
        <v>11.61</v>
      </c>
      <c r="I66" s="47"/>
      <c r="J66" s="18">
        <f t="shared" si="5"/>
        <v>208.76</v>
      </c>
      <c r="K66" s="20">
        <v>137658</v>
      </c>
      <c r="L66" s="48">
        <v>152</v>
      </c>
      <c r="M66" s="49"/>
    </row>
    <row r="67" spans="1:13" ht="17.25" customHeight="1" x14ac:dyDescent="0.25">
      <c r="A67" s="35"/>
      <c r="B67" s="42"/>
      <c r="C67" s="15">
        <v>60</v>
      </c>
      <c r="D67" s="46" t="s">
        <v>80</v>
      </c>
      <c r="E67" s="24" t="s">
        <v>16</v>
      </c>
      <c r="F67" s="43">
        <v>5.99</v>
      </c>
      <c r="G67" s="43">
        <v>285.74</v>
      </c>
      <c r="H67" s="43">
        <v>7.77</v>
      </c>
      <c r="I67" s="47"/>
      <c r="J67" s="18">
        <f t="shared" si="5"/>
        <v>299.5</v>
      </c>
      <c r="K67" s="20">
        <v>212298</v>
      </c>
      <c r="L67" s="48">
        <v>172</v>
      </c>
      <c r="M67" s="49"/>
    </row>
    <row r="68" spans="1:13" ht="17.25" customHeight="1" x14ac:dyDescent="0.25">
      <c r="A68" s="35"/>
      <c r="B68" s="42"/>
      <c r="C68" s="15">
        <v>61</v>
      </c>
      <c r="D68" s="50" t="s">
        <v>81</v>
      </c>
      <c r="E68" s="24" t="s">
        <v>16</v>
      </c>
      <c r="F68" s="43">
        <v>8.2799999999999994</v>
      </c>
      <c r="G68" s="43">
        <v>346.25</v>
      </c>
      <c r="H68" s="43">
        <v>19.809999999999999</v>
      </c>
      <c r="I68" s="47"/>
      <c r="J68" s="18">
        <f t="shared" si="5"/>
        <v>374.34</v>
      </c>
      <c r="K68" s="20">
        <v>257607</v>
      </c>
      <c r="L68" s="48">
        <v>173</v>
      </c>
      <c r="M68" s="49"/>
    </row>
    <row r="69" spans="1:13" ht="17.25" customHeight="1" x14ac:dyDescent="0.25">
      <c r="A69" s="35"/>
      <c r="B69" s="42"/>
      <c r="C69" s="15">
        <v>62</v>
      </c>
      <c r="D69" s="50" t="s">
        <v>82</v>
      </c>
      <c r="E69" s="24" t="s">
        <v>16</v>
      </c>
      <c r="F69" s="43">
        <v>7.16</v>
      </c>
      <c r="G69" s="43">
        <v>219.45</v>
      </c>
      <c r="H69" s="43">
        <v>7.65</v>
      </c>
      <c r="I69" s="47"/>
      <c r="J69" s="18">
        <f t="shared" si="5"/>
        <v>234.26</v>
      </c>
      <c r="K69" s="20">
        <v>155899</v>
      </c>
      <c r="L69" s="48">
        <v>234</v>
      </c>
      <c r="M69" s="49"/>
    </row>
    <row r="70" spans="1:13" ht="17.25" customHeight="1" x14ac:dyDescent="0.25">
      <c r="A70" s="35"/>
      <c r="B70" s="42"/>
      <c r="C70" s="15">
        <v>63</v>
      </c>
      <c r="D70" s="50" t="s">
        <v>83</v>
      </c>
      <c r="E70" s="24" t="s">
        <v>16</v>
      </c>
      <c r="F70" s="43">
        <v>2.0099999999999998</v>
      </c>
      <c r="G70" s="43">
        <v>108.18</v>
      </c>
      <c r="H70" s="43">
        <v>9.82</v>
      </c>
      <c r="I70" s="47"/>
      <c r="J70" s="18">
        <f t="shared" si="5"/>
        <v>120.01000000000002</v>
      </c>
      <c r="K70" s="20">
        <v>79795</v>
      </c>
      <c r="L70" s="48">
        <v>196</v>
      </c>
      <c r="M70" s="49"/>
    </row>
    <row r="71" spans="1:13" ht="17.25" customHeight="1" x14ac:dyDescent="0.25">
      <c r="A71" s="35"/>
      <c r="B71" s="42"/>
      <c r="C71" s="15">
        <v>64</v>
      </c>
      <c r="D71" s="50" t="s">
        <v>84</v>
      </c>
      <c r="E71" s="24" t="s">
        <v>16</v>
      </c>
      <c r="F71" s="43">
        <v>12.42</v>
      </c>
      <c r="G71" s="43">
        <v>395.12</v>
      </c>
      <c r="H71" s="43">
        <v>31.63</v>
      </c>
      <c r="I71" s="47"/>
      <c r="J71" s="18">
        <f t="shared" si="5"/>
        <v>439.17</v>
      </c>
      <c r="K71" s="20">
        <v>293046</v>
      </c>
      <c r="L71" s="48">
        <v>138</v>
      </c>
      <c r="M71" s="49"/>
    </row>
    <row r="72" spans="1:13" ht="17.25" customHeight="1" x14ac:dyDescent="0.25">
      <c r="A72" s="35"/>
      <c r="B72" s="42"/>
      <c r="C72" s="15">
        <v>65</v>
      </c>
      <c r="D72" s="51" t="s">
        <v>85</v>
      </c>
      <c r="E72" s="24" t="s">
        <v>16</v>
      </c>
      <c r="F72" s="43">
        <v>6.25</v>
      </c>
      <c r="G72" s="43">
        <v>198.75</v>
      </c>
      <c r="H72" s="43">
        <v>14.4</v>
      </c>
      <c r="I72" s="47"/>
      <c r="J72" s="18">
        <f t="shared" si="5"/>
        <v>219.4</v>
      </c>
      <c r="K72" s="20">
        <v>145378</v>
      </c>
      <c r="L72" s="48">
        <v>288</v>
      </c>
      <c r="M72" s="49"/>
    </row>
    <row r="73" spans="1:13" ht="17.25" customHeight="1" x14ac:dyDescent="0.25">
      <c r="A73" s="35"/>
      <c r="B73" s="42"/>
      <c r="C73" s="15">
        <v>66</v>
      </c>
      <c r="D73" s="51" t="s">
        <v>86</v>
      </c>
      <c r="E73" s="24" t="s">
        <v>16</v>
      </c>
      <c r="F73" s="43">
        <v>7.27</v>
      </c>
      <c r="G73" s="43">
        <v>196.22</v>
      </c>
      <c r="H73" s="43">
        <v>4.82</v>
      </c>
      <c r="I73" s="47"/>
      <c r="J73" s="18">
        <f t="shared" si="5"/>
        <v>208.31</v>
      </c>
      <c r="K73" s="20">
        <v>143039</v>
      </c>
      <c r="L73" s="48">
        <v>120</v>
      </c>
      <c r="M73" s="49"/>
    </row>
    <row r="74" spans="1:13" ht="17.25" customHeight="1" x14ac:dyDescent="0.25">
      <c r="A74" s="35"/>
      <c r="B74" s="42"/>
      <c r="C74" s="15">
        <v>67</v>
      </c>
      <c r="D74" s="51" t="s">
        <v>87</v>
      </c>
      <c r="E74" s="24" t="s">
        <v>16</v>
      </c>
      <c r="F74" s="43">
        <v>5.17</v>
      </c>
      <c r="G74" s="43">
        <v>240.1</v>
      </c>
      <c r="H74" s="43">
        <v>4.84</v>
      </c>
      <c r="I74" s="47"/>
      <c r="J74" s="18">
        <f t="shared" si="5"/>
        <v>250.10999999999999</v>
      </c>
      <c r="K74" s="20">
        <v>174163</v>
      </c>
      <c r="L74" s="48">
        <v>110</v>
      </c>
      <c r="M74" s="49"/>
    </row>
    <row r="75" spans="1:13" ht="17.25" customHeight="1" x14ac:dyDescent="0.25">
      <c r="A75" s="35"/>
      <c r="B75" s="42"/>
      <c r="C75" s="15">
        <v>68</v>
      </c>
      <c r="D75" s="51" t="s">
        <v>88</v>
      </c>
      <c r="E75" s="24" t="s">
        <v>16</v>
      </c>
      <c r="F75" s="43">
        <v>7.99</v>
      </c>
      <c r="G75" s="43">
        <v>473.28</v>
      </c>
      <c r="H75" s="43">
        <v>6.84</v>
      </c>
      <c r="I75" s="47"/>
      <c r="J75" s="18">
        <f t="shared" si="5"/>
        <v>488.10999999999996</v>
      </c>
      <c r="K75" s="20">
        <v>342296</v>
      </c>
      <c r="L75" s="48">
        <v>244</v>
      </c>
      <c r="M75" s="49"/>
    </row>
    <row r="76" spans="1:13" ht="17.25" customHeight="1" x14ac:dyDescent="0.25">
      <c r="A76" s="35"/>
      <c r="B76" s="42"/>
      <c r="C76" s="15">
        <v>69</v>
      </c>
      <c r="D76" s="51" t="s">
        <v>89</v>
      </c>
      <c r="E76" s="24" t="s">
        <v>16</v>
      </c>
      <c r="F76" s="43">
        <v>9.0500000000000007</v>
      </c>
      <c r="G76" s="43">
        <v>297.70999999999998</v>
      </c>
      <c r="H76" s="43">
        <v>7.02</v>
      </c>
      <c r="I76" s="47"/>
      <c r="J76" s="18">
        <f t="shared" si="5"/>
        <v>313.77999999999997</v>
      </c>
      <c r="K76" s="20">
        <v>217688</v>
      </c>
      <c r="L76" s="48">
        <v>200</v>
      </c>
      <c r="M76" s="49"/>
    </row>
    <row r="77" spans="1:13" ht="17.25" customHeight="1" x14ac:dyDescent="0.25">
      <c r="A77" s="35"/>
      <c r="B77" s="42"/>
      <c r="C77" s="15">
        <v>70</v>
      </c>
      <c r="D77" s="46" t="s">
        <v>90</v>
      </c>
      <c r="E77" s="24" t="s">
        <v>16</v>
      </c>
      <c r="F77" s="43">
        <v>8.24</v>
      </c>
      <c r="G77" s="43">
        <v>406.83</v>
      </c>
      <c r="H77" s="43">
        <v>11.79</v>
      </c>
      <c r="I77" s="47"/>
      <c r="J77" s="18">
        <f t="shared" si="5"/>
        <v>426.86</v>
      </c>
      <c r="K77" s="20">
        <v>294090</v>
      </c>
      <c r="L77" s="48">
        <v>218</v>
      </c>
      <c r="M77" s="49"/>
    </row>
    <row r="78" spans="1:13" ht="17.25" customHeight="1" x14ac:dyDescent="0.25">
      <c r="A78" s="35"/>
      <c r="B78" s="42"/>
      <c r="C78" s="15">
        <v>71</v>
      </c>
      <c r="D78" s="50" t="s">
        <v>91</v>
      </c>
      <c r="E78" s="24" t="s">
        <v>16</v>
      </c>
      <c r="F78" s="43">
        <v>15.59</v>
      </c>
      <c r="G78" s="52">
        <v>197.24</v>
      </c>
      <c r="H78" s="43">
        <v>6.92</v>
      </c>
      <c r="I78" s="47"/>
      <c r="J78" s="18">
        <f t="shared" si="5"/>
        <v>219.75</v>
      </c>
      <c r="K78" s="20">
        <v>141802</v>
      </c>
      <c r="L78" s="48">
        <v>164</v>
      </c>
      <c r="M78" s="49"/>
    </row>
    <row r="79" spans="1:13" ht="17.25" customHeight="1" x14ac:dyDescent="0.25">
      <c r="A79" s="35"/>
      <c r="B79" s="42"/>
      <c r="C79" s="15">
        <v>72</v>
      </c>
      <c r="D79" s="46" t="s">
        <v>92</v>
      </c>
      <c r="E79" s="24" t="s">
        <v>16</v>
      </c>
      <c r="F79" s="43">
        <v>15.12</v>
      </c>
      <c r="G79" s="53">
        <v>333.4</v>
      </c>
      <c r="H79" s="43">
        <v>7.73</v>
      </c>
      <c r="I79" s="47"/>
      <c r="J79" s="18">
        <f t="shared" si="5"/>
        <v>356.25</v>
      </c>
      <c r="K79" s="20">
        <v>238598</v>
      </c>
      <c r="L79" s="48">
        <v>264</v>
      </c>
      <c r="M79" s="49"/>
    </row>
    <row r="80" spans="1:13" ht="17.25" customHeight="1" x14ac:dyDescent="0.25">
      <c r="A80" s="96" t="s">
        <v>46</v>
      </c>
      <c r="B80" s="96"/>
      <c r="C80" s="96"/>
      <c r="D80" s="96"/>
      <c r="E80" s="28"/>
      <c r="F80" s="29">
        <f>SUM(F65:F79)</f>
        <v>120.63</v>
      </c>
      <c r="G80" s="29">
        <f>SUM(G65:G79)</f>
        <v>4280.7899999999991</v>
      </c>
      <c r="H80" s="29">
        <f>SUM(H65:H79)</f>
        <v>154.64999999999998</v>
      </c>
      <c r="I80" s="29"/>
      <c r="J80" s="30">
        <f>SUM(J65:J79)</f>
        <v>4556.07</v>
      </c>
      <c r="K80" s="31">
        <f>SUM(K65:K79)</f>
        <v>3111016</v>
      </c>
      <c r="L80" s="31">
        <f>SUM(L65:L79)</f>
        <v>2891</v>
      </c>
      <c r="M80" s="32"/>
    </row>
    <row r="81" spans="1:13" ht="17.25" customHeight="1" x14ac:dyDescent="0.25">
      <c r="A81" s="35" t="s">
        <v>93</v>
      </c>
      <c r="B81" s="36" t="s">
        <v>94</v>
      </c>
      <c r="C81" s="15">
        <v>73</v>
      </c>
      <c r="D81" s="54" t="s">
        <v>95</v>
      </c>
      <c r="E81" s="24" t="s">
        <v>16</v>
      </c>
      <c r="F81" s="55">
        <v>2.99</v>
      </c>
      <c r="G81" s="55">
        <v>8.98</v>
      </c>
      <c r="H81" s="55" t="s">
        <v>96</v>
      </c>
      <c r="I81" s="56"/>
      <c r="J81" s="18">
        <f t="shared" ref="J81:J106" si="6">SUM(F81:H81)</f>
        <v>11.97</v>
      </c>
      <c r="K81" s="20">
        <v>4100</v>
      </c>
      <c r="L81" s="39">
        <v>69</v>
      </c>
      <c r="M81" s="49"/>
    </row>
    <row r="82" spans="1:13" ht="17.25" customHeight="1" x14ac:dyDescent="0.25">
      <c r="A82" s="35"/>
      <c r="B82" s="42"/>
      <c r="C82" s="15">
        <v>74</v>
      </c>
      <c r="D82" s="16" t="s">
        <v>97</v>
      </c>
      <c r="E82" s="24" t="s">
        <v>16</v>
      </c>
      <c r="F82" s="18">
        <v>2.0299999999999998</v>
      </c>
      <c r="G82" s="18">
        <v>9.93</v>
      </c>
      <c r="H82" s="18">
        <v>2.89</v>
      </c>
      <c r="I82" s="19"/>
      <c r="J82" s="18">
        <f t="shared" si="6"/>
        <v>14.85</v>
      </c>
      <c r="K82" s="20">
        <v>4549</v>
      </c>
      <c r="L82" s="20">
        <v>24</v>
      </c>
      <c r="M82" s="49"/>
    </row>
    <row r="83" spans="1:13" ht="17.25" customHeight="1" x14ac:dyDescent="0.25">
      <c r="A83" s="35"/>
      <c r="B83" s="42"/>
      <c r="C83" s="15">
        <v>75</v>
      </c>
      <c r="D83" s="16" t="s">
        <v>98</v>
      </c>
      <c r="E83" s="24" t="s">
        <v>16</v>
      </c>
      <c r="F83" s="18">
        <v>4.0599999999999996</v>
      </c>
      <c r="G83" s="18">
        <v>57.71</v>
      </c>
      <c r="H83" s="18">
        <v>10.54</v>
      </c>
      <c r="I83" s="19"/>
      <c r="J83" s="18">
        <f t="shared" si="6"/>
        <v>72.31</v>
      </c>
      <c r="K83" s="20">
        <v>37975</v>
      </c>
      <c r="L83" s="20">
        <v>171</v>
      </c>
      <c r="M83" s="49"/>
    </row>
    <row r="84" spans="1:13" ht="17.25" customHeight="1" x14ac:dyDescent="0.25">
      <c r="A84" s="35"/>
      <c r="B84" s="42"/>
      <c r="C84" s="15">
        <v>76</v>
      </c>
      <c r="D84" s="16" t="s">
        <v>99</v>
      </c>
      <c r="E84" s="24" t="s">
        <v>16</v>
      </c>
      <c r="F84" s="18">
        <v>4.1100000000000003</v>
      </c>
      <c r="G84" s="18">
        <v>38.369999999999997</v>
      </c>
      <c r="H84" s="18" t="s">
        <v>96</v>
      </c>
      <c r="I84" s="19"/>
      <c r="J84" s="18">
        <f t="shared" si="6"/>
        <v>42.48</v>
      </c>
      <c r="K84" s="20">
        <v>24142</v>
      </c>
      <c r="L84" s="20">
        <v>169</v>
      </c>
      <c r="M84" s="49"/>
    </row>
    <row r="85" spans="1:13" ht="17.25" customHeight="1" x14ac:dyDescent="0.25">
      <c r="A85" s="35"/>
      <c r="B85" s="42"/>
      <c r="C85" s="15">
        <v>77</v>
      </c>
      <c r="D85" s="16" t="s">
        <v>100</v>
      </c>
      <c r="E85" s="24" t="s">
        <v>16</v>
      </c>
      <c r="F85" s="18">
        <v>0</v>
      </c>
      <c r="G85" s="18">
        <v>180.2</v>
      </c>
      <c r="H85" s="18">
        <v>12.57</v>
      </c>
      <c r="I85" s="19"/>
      <c r="J85" s="18">
        <f t="shared" si="6"/>
        <v>192.76999999999998</v>
      </c>
      <c r="K85" s="20">
        <v>120519</v>
      </c>
      <c r="L85" s="20">
        <v>103</v>
      </c>
      <c r="M85" s="49"/>
    </row>
    <row r="86" spans="1:13" ht="17.25" customHeight="1" x14ac:dyDescent="0.25">
      <c r="A86" s="35"/>
      <c r="B86" s="42"/>
      <c r="C86" s="15">
        <v>78</v>
      </c>
      <c r="D86" s="16" t="s">
        <v>101</v>
      </c>
      <c r="E86" s="24" t="s">
        <v>16</v>
      </c>
      <c r="F86" s="18">
        <v>1.99</v>
      </c>
      <c r="G86" s="26">
        <v>17.7</v>
      </c>
      <c r="H86" s="18">
        <v>13.25</v>
      </c>
      <c r="I86" s="19"/>
      <c r="J86" s="18">
        <f t="shared" si="6"/>
        <v>32.94</v>
      </c>
      <c r="K86" s="20">
        <v>10494</v>
      </c>
      <c r="L86" s="20">
        <v>61</v>
      </c>
      <c r="M86" s="49"/>
    </row>
    <row r="87" spans="1:13" ht="17.25" customHeight="1" x14ac:dyDescent="0.25">
      <c r="A87" s="35"/>
      <c r="B87" s="42"/>
      <c r="C87" s="15">
        <v>79</v>
      </c>
      <c r="D87" s="16" t="s">
        <v>102</v>
      </c>
      <c r="E87" s="24" t="s">
        <v>16</v>
      </c>
      <c r="F87" s="18">
        <v>41.05</v>
      </c>
      <c r="G87" s="18">
        <v>61.69</v>
      </c>
      <c r="H87" s="18">
        <v>3.93</v>
      </c>
      <c r="I87" s="19"/>
      <c r="J87" s="18">
        <f t="shared" si="6"/>
        <v>106.67</v>
      </c>
      <c r="K87" s="20">
        <v>41536</v>
      </c>
      <c r="L87" s="20">
        <v>424</v>
      </c>
      <c r="M87" s="49"/>
    </row>
    <row r="88" spans="1:13" ht="17.25" customHeight="1" x14ac:dyDescent="0.25">
      <c r="A88" s="35"/>
      <c r="B88" s="42"/>
      <c r="C88" s="15">
        <v>80</v>
      </c>
      <c r="D88" s="16" t="s">
        <v>103</v>
      </c>
      <c r="E88" s="24" t="s">
        <v>16</v>
      </c>
      <c r="F88" s="18">
        <v>20.93</v>
      </c>
      <c r="G88" s="18">
        <v>45.72</v>
      </c>
      <c r="H88" s="18">
        <v>35.5</v>
      </c>
      <c r="I88" s="19"/>
      <c r="J88" s="18">
        <f t="shared" si="6"/>
        <v>102.15</v>
      </c>
      <c r="K88" s="20">
        <v>34297</v>
      </c>
      <c r="L88" s="20">
        <v>219</v>
      </c>
      <c r="M88" s="49"/>
    </row>
    <row r="89" spans="1:13" ht="17.25" customHeight="1" x14ac:dyDescent="0.25">
      <c r="A89" s="35"/>
      <c r="B89" s="42"/>
      <c r="C89" s="15">
        <v>81</v>
      </c>
      <c r="D89" s="16" t="s">
        <v>104</v>
      </c>
      <c r="E89" s="24" t="s">
        <v>16</v>
      </c>
      <c r="F89" s="18">
        <v>6.42</v>
      </c>
      <c r="G89" s="18">
        <v>156.94</v>
      </c>
      <c r="H89" s="18">
        <v>23.22</v>
      </c>
      <c r="I89" s="19"/>
      <c r="J89" s="18">
        <f t="shared" si="6"/>
        <v>186.57999999999998</v>
      </c>
      <c r="K89" s="20">
        <v>132914</v>
      </c>
      <c r="L89" s="20">
        <v>223</v>
      </c>
      <c r="M89" s="49"/>
    </row>
    <row r="90" spans="1:13" ht="17.25" customHeight="1" x14ac:dyDescent="0.25">
      <c r="A90" s="35"/>
      <c r="B90" s="42"/>
      <c r="C90" s="15">
        <v>82</v>
      </c>
      <c r="D90" s="16" t="s">
        <v>105</v>
      </c>
      <c r="E90" s="24" t="s">
        <v>16</v>
      </c>
      <c r="F90" s="18" t="s">
        <v>96</v>
      </c>
      <c r="G90" s="18">
        <v>171.21</v>
      </c>
      <c r="H90" s="18">
        <v>1.45</v>
      </c>
      <c r="I90" s="19"/>
      <c r="J90" s="18">
        <f t="shared" si="6"/>
        <v>172.66</v>
      </c>
      <c r="K90" s="20">
        <v>114811</v>
      </c>
      <c r="L90" s="20">
        <v>139</v>
      </c>
      <c r="M90" s="49"/>
    </row>
    <row r="91" spans="1:13" ht="17.25" customHeight="1" x14ac:dyDescent="0.25">
      <c r="A91" s="35"/>
      <c r="B91" s="42"/>
      <c r="C91" s="15">
        <v>83</v>
      </c>
      <c r="D91" s="16" t="s">
        <v>106</v>
      </c>
      <c r="E91" s="24" t="s">
        <v>16</v>
      </c>
      <c r="F91" s="18">
        <v>3.64</v>
      </c>
      <c r="G91" s="18">
        <v>14.43</v>
      </c>
      <c r="H91" s="18" t="s">
        <v>96</v>
      </c>
      <c r="I91" s="19"/>
      <c r="J91" s="18">
        <f t="shared" si="6"/>
        <v>18.07</v>
      </c>
      <c r="K91" s="20">
        <v>10928</v>
      </c>
      <c r="L91" s="20">
        <v>369</v>
      </c>
      <c r="M91" s="49"/>
    </row>
    <row r="92" spans="1:13" ht="17.25" customHeight="1" x14ac:dyDescent="0.25">
      <c r="A92" s="35"/>
      <c r="B92" s="42"/>
      <c r="C92" s="15">
        <v>84</v>
      </c>
      <c r="D92" s="57" t="s">
        <v>107</v>
      </c>
      <c r="E92" s="24" t="s">
        <v>16</v>
      </c>
      <c r="F92" s="18">
        <v>7.08</v>
      </c>
      <c r="G92" s="18">
        <v>301.41000000000003</v>
      </c>
      <c r="H92" s="18">
        <v>21.12</v>
      </c>
      <c r="I92" s="19"/>
      <c r="J92" s="18">
        <f t="shared" si="6"/>
        <v>329.61</v>
      </c>
      <c r="K92" s="20">
        <v>202996</v>
      </c>
      <c r="L92" s="20">
        <v>192</v>
      </c>
      <c r="M92" s="49"/>
    </row>
    <row r="93" spans="1:13" ht="17.25" customHeight="1" x14ac:dyDescent="0.25">
      <c r="A93" s="35"/>
      <c r="B93" s="42"/>
      <c r="C93" s="15">
        <v>85</v>
      </c>
      <c r="D93" s="16" t="s">
        <v>108</v>
      </c>
      <c r="E93" s="24" t="s">
        <v>16</v>
      </c>
      <c r="F93" s="18" t="s">
        <v>96</v>
      </c>
      <c r="G93" s="26">
        <v>125.98</v>
      </c>
      <c r="H93" s="18" t="s">
        <v>96</v>
      </c>
      <c r="I93" s="19"/>
      <c r="J93" s="18">
        <f t="shared" si="6"/>
        <v>125.98</v>
      </c>
      <c r="K93" s="20">
        <v>72744</v>
      </c>
      <c r="L93" s="20">
        <v>168</v>
      </c>
      <c r="M93" s="49"/>
    </row>
    <row r="94" spans="1:13" ht="17.25" customHeight="1" x14ac:dyDescent="0.25">
      <c r="A94" s="35"/>
      <c r="B94" s="42"/>
      <c r="C94" s="15">
        <v>86</v>
      </c>
      <c r="D94" s="16" t="s">
        <v>109</v>
      </c>
      <c r="E94" s="24" t="s">
        <v>16</v>
      </c>
      <c r="F94" s="18">
        <v>6.49</v>
      </c>
      <c r="G94" s="26">
        <v>28.73</v>
      </c>
      <c r="H94" s="18">
        <v>6.75</v>
      </c>
      <c r="I94" s="19"/>
      <c r="J94" s="18">
        <f t="shared" si="6"/>
        <v>41.97</v>
      </c>
      <c r="K94" s="20">
        <v>15928</v>
      </c>
      <c r="L94" s="20">
        <v>75</v>
      </c>
      <c r="M94" s="49"/>
    </row>
    <row r="95" spans="1:13" ht="17.25" customHeight="1" x14ac:dyDescent="0.25">
      <c r="A95" s="35"/>
      <c r="B95" s="42"/>
      <c r="C95" s="15">
        <v>87</v>
      </c>
      <c r="D95" s="16" t="s">
        <v>110</v>
      </c>
      <c r="E95" s="24" t="s">
        <v>16</v>
      </c>
      <c r="F95" s="18">
        <v>5.98</v>
      </c>
      <c r="G95" s="26">
        <v>102.54</v>
      </c>
      <c r="H95" s="18">
        <v>30.35</v>
      </c>
      <c r="I95" s="19"/>
      <c r="J95" s="18">
        <f t="shared" si="6"/>
        <v>138.87</v>
      </c>
      <c r="K95" s="20">
        <v>87041</v>
      </c>
      <c r="L95" s="20">
        <v>145</v>
      </c>
      <c r="M95" s="49"/>
    </row>
    <row r="96" spans="1:13" ht="17.25" customHeight="1" x14ac:dyDescent="0.25">
      <c r="A96" s="35"/>
      <c r="B96" s="42"/>
      <c r="C96" s="15">
        <v>88</v>
      </c>
      <c r="D96" s="16" t="s">
        <v>111</v>
      </c>
      <c r="E96" s="24" t="s">
        <v>16</v>
      </c>
      <c r="F96" s="18">
        <v>6.24</v>
      </c>
      <c r="G96" s="26">
        <v>114.33</v>
      </c>
      <c r="H96" s="18">
        <v>50.21</v>
      </c>
      <c r="I96" s="19"/>
      <c r="J96" s="18">
        <f t="shared" si="6"/>
        <v>170.78</v>
      </c>
      <c r="K96" s="20">
        <v>96930</v>
      </c>
      <c r="L96" s="20">
        <v>171</v>
      </c>
      <c r="M96" s="49"/>
    </row>
    <row r="97" spans="1:13" ht="17.25" customHeight="1" x14ac:dyDescent="0.25">
      <c r="A97" s="35"/>
      <c r="B97" s="42"/>
      <c r="C97" s="15">
        <v>89</v>
      </c>
      <c r="D97" s="16" t="s">
        <v>112</v>
      </c>
      <c r="E97" s="24" t="s">
        <v>16</v>
      </c>
      <c r="F97" s="18">
        <v>6.13</v>
      </c>
      <c r="G97" s="26">
        <v>437.49</v>
      </c>
      <c r="H97" s="18">
        <v>30.38</v>
      </c>
      <c r="I97" s="19"/>
      <c r="J97" s="18">
        <f t="shared" si="6"/>
        <v>474</v>
      </c>
      <c r="K97" s="20">
        <v>302562</v>
      </c>
      <c r="L97" s="20">
        <v>275</v>
      </c>
      <c r="M97" s="49"/>
    </row>
    <row r="98" spans="1:13" ht="17.25" customHeight="1" x14ac:dyDescent="0.25">
      <c r="A98" s="35"/>
      <c r="B98" s="42"/>
      <c r="C98" s="15">
        <v>90</v>
      </c>
      <c r="D98" s="16" t="s">
        <v>113</v>
      </c>
      <c r="E98" s="24" t="s">
        <v>16</v>
      </c>
      <c r="F98" s="18">
        <v>4.1500000000000004</v>
      </c>
      <c r="G98" s="26">
        <v>64.760000000000005</v>
      </c>
      <c r="H98" s="18">
        <v>1.92</v>
      </c>
      <c r="I98" s="19"/>
      <c r="J98" s="18">
        <f t="shared" si="6"/>
        <v>70.830000000000013</v>
      </c>
      <c r="K98" s="20">
        <v>42846</v>
      </c>
      <c r="L98" s="20">
        <v>237</v>
      </c>
      <c r="M98" s="49"/>
    </row>
    <row r="99" spans="1:13" ht="17.25" customHeight="1" x14ac:dyDescent="0.25">
      <c r="A99" s="35"/>
      <c r="B99" s="42"/>
      <c r="C99" s="15">
        <v>91</v>
      </c>
      <c r="D99" s="57" t="s">
        <v>114</v>
      </c>
      <c r="E99" s="24" t="s">
        <v>16</v>
      </c>
      <c r="F99" s="18">
        <v>3.97</v>
      </c>
      <c r="G99" s="26">
        <v>123.23</v>
      </c>
      <c r="H99" s="18">
        <v>1.91</v>
      </c>
      <c r="I99" s="19"/>
      <c r="J99" s="18">
        <f t="shared" si="6"/>
        <v>129.11000000000001</v>
      </c>
      <c r="K99" s="20">
        <v>76197</v>
      </c>
      <c r="L99" s="20">
        <v>123</v>
      </c>
      <c r="M99" s="49"/>
    </row>
    <row r="100" spans="1:13" ht="17.25" customHeight="1" x14ac:dyDescent="0.25">
      <c r="A100" s="35"/>
      <c r="B100" s="42"/>
      <c r="C100" s="15">
        <v>92</v>
      </c>
      <c r="D100" s="16" t="s">
        <v>115</v>
      </c>
      <c r="E100" s="24" t="s">
        <v>16</v>
      </c>
      <c r="F100" s="18">
        <v>3.27</v>
      </c>
      <c r="G100" s="26">
        <v>221.97</v>
      </c>
      <c r="H100" s="18">
        <v>2.6</v>
      </c>
      <c r="I100" s="19"/>
      <c r="J100" s="18">
        <f t="shared" si="6"/>
        <v>227.84</v>
      </c>
      <c r="K100" s="20">
        <v>194198</v>
      </c>
      <c r="L100" s="20">
        <v>188</v>
      </c>
      <c r="M100" s="49"/>
    </row>
    <row r="101" spans="1:13" ht="17.25" customHeight="1" x14ac:dyDescent="0.25">
      <c r="A101" s="35"/>
      <c r="B101" s="42"/>
      <c r="C101" s="15">
        <v>93</v>
      </c>
      <c r="D101" s="16" t="s">
        <v>116</v>
      </c>
      <c r="E101" s="24" t="s">
        <v>16</v>
      </c>
      <c r="F101" s="18" t="s">
        <v>96</v>
      </c>
      <c r="G101" s="18">
        <v>85.88</v>
      </c>
      <c r="H101" s="18" t="s">
        <v>96</v>
      </c>
      <c r="I101" s="58"/>
      <c r="J101" s="18">
        <f t="shared" si="6"/>
        <v>85.88</v>
      </c>
      <c r="K101" s="20">
        <v>52291</v>
      </c>
      <c r="L101" s="20">
        <v>96</v>
      </c>
      <c r="M101" s="49"/>
    </row>
    <row r="102" spans="1:13" ht="17.25" customHeight="1" x14ac:dyDescent="0.25">
      <c r="A102" s="35"/>
      <c r="B102" s="42"/>
      <c r="C102" s="15">
        <v>94</v>
      </c>
      <c r="D102" s="16" t="s">
        <v>94</v>
      </c>
      <c r="E102" s="24" t="s">
        <v>16</v>
      </c>
      <c r="F102" s="18">
        <v>4.1100000000000003</v>
      </c>
      <c r="G102" s="26">
        <v>70.36</v>
      </c>
      <c r="H102" s="18">
        <v>20.07</v>
      </c>
      <c r="I102" s="19"/>
      <c r="J102" s="18">
        <f t="shared" si="6"/>
        <v>94.539999999999992</v>
      </c>
      <c r="K102" s="20">
        <v>46537</v>
      </c>
      <c r="L102" s="20">
        <v>222</v>
      </c>
      <c r="M102" s="49"/>
    </row>
    <row r="103" spans="1:13" ht="17.25" customHeight="1" x14ac:dyDescent="0.25">
      <c r="A103" s="35"/>
      <c r="B103" s="42"/>
      <c r="C103" s="15">
        <v>95</v>
      </c>
      <c r="D103" s="16" t="s">
        <v>117</v>
      </c>
      <c r="E103" s="24" t="s">
        <v>16</v>
      </c>
      <c r="F103" s="18">
        <v>15.92</v>
      </c>
      <c r="G103" s="26">
        <v>50.28</v>
      </c>
      <c r="H103" s="18">
        <v>15.61</v>
      </c>
      <c r="I103" s="19"/>
      <c r="J103" s="18">
        <f t="shared" si="6"/>
        <v>81.81</v>
      </c>
      <c r="K103" s="20">
        <v>27526</v>
      </c>
      <c r="L103" s="20">
        <v>234</v>
      </c>
      <c r="M103" s="49"/>
    </row>
    <row r="104" spans="1:13" ht="17.25" customHeight="1" x14ac:dyDescent="0.25">
      <c r="A104" s="35"/>
      <c r="B104" s="42"/>
      <c r="C104" s="15">
        <v>96</v>
      </c>
      <c r="D104" s="16" t="s">
        <v>118</v>
      </c>
      <c r="E104" s="24" t="s">
        <v>16</v>
      </c>
      <c r="F104" s="18">
        <v>8.31</v>
      </c>
      <c r="G104" s="26">
        <v>137.93</v>
      </c>
      <c r="H104" s="18">
        <v>5.93</v>
      </c>
      <c r="I104" s="19"/>
      <c r="J104" s="18">
        <f t="shared" si="6"/>
        <v>152.17000000000002</v>
      </c>
      <c r="K104" s="20">
        <v>100135</v>
      </c>
      <c r="L104" s="20">
        <v>294</v>
      </c>
      <c r="M104" s="49"/>
    </row>
    <row r="105" spans="1:13" ht="17.25" customHeight="1" x14ac:dyDescent="0.25">
      <c r="A105" s="35"/>
      <c r="B105" s="42"/>
      <c r="C105" s="15">
        <v>97</v>
      </c>
      <c r="D105" s="16" t="s">
        <v>119</v>
      </c>
      <c r="E105" s="24" t="s">
        <v>16</v>
      </c>
      <c r="F105" s="18">
        <v>8.99</v>
      </c>
      <c r="G105" s="26">
        <v>107.68</v>
      </c>
      <c r="H105" s="18">
        <v>12.44</v>
      </c>
      <c r="I105" s="19"/>
      <c r="J105" s="18">
        <f t="shared" si="6"/>
        <v>129.11000000000001</v>
      </c>
      <c r="K105" s="20">
        <v>82127</v>
      </c>
      <c r="L105" s="20">
        <v>183</v>
      </c>
      <c r="M105" s="49"/>
    </row>
    <row r="106" spans="1:13" ht="17.25" customHeight="1" x14ac:dyDescent="0.25">
      <c r="A106" s="35"/>
      <c r="B106" s="42"/>
      <c r="C106" s="15">
        <v>98</v>
      </c>
      <c r="D106" s="16" t="s">
        <v>120</v>
      </c>
      <c r="E106" s="24" t="s">
        <v>16</v>
      </c>
      <c r="F106" s="18">
        <v>4.12</v>
      </c>
      <c r="G106" s="26">
        <v>76.48</v>
      </c>
      <c r="H106" s="18">
        <v>6.17</v>
      </c>
      <c r="I106" s="19"/>
      <c r="J106" s="18">
        <f t="shared" si="6"/>
        <v>86.77000000000001</v>
      </c>
      <c r="K106" s="20">
        <v>64876</v>
      </c>
      <c r="L106" s="20">
        <v>173</v>
      </c>
      <c r="M106" s="49"/>
    </row>
    <row r="107" spans="1:13" ht="17.25" customHeight="1" x14ac:dyDescent="0.25">
      <c r="A107" s="96" t="s">
        <v>46</v>
      </c>
      <c r="B107" s="96"/>
      <c r="C107" s="96"/>
      <c r="D107" s="96"/>
      <c r="E107" s="28"/>
      <c r="F107" s="29">
        <f>SUM(F81:F106)</f>
        <v>171.98000000000002</v>
      </c>
      <c r="G107" s="29">
        <f>SUM(G81:G106)</f>
        <v>2811.93</v>
      </c>
      <c r="H107" s="29">
        <f>SUM(H81:H106)</f>
        <v>308.81000000000006</v>
      </c>
      <c r="I107" s="29"/>
      <c r="J107" s="30">
        <f>SUM(J81:J106)</f>
        <v>3292.7200000000003</v>
      </c>
      <c r="K107" s="31">
        <f>SUM(K81:K106)</f>
        <v>2001199</v>
      </c>
      <c r="L107" s="31">
        <f>SUM(L81:L106)</f>
        <v>4747</v>
      </c>
      <c r="M107" s="32"/>
    </row>
    <row r="108" spans="1:13" ht="17.25" customHeight="1" x14ac:dyDescent="0.25">
      <c r="A108" s="35" t="s">
        <v>121</v>
      </c>
      <c r="B108" s="42" t="s">
        <v>122</v>
      </c>
      <c r="C108" s="59">
        <v>99</v>
      </c>
      <c r="D108" s="60" t="s">
        <v>123</v>
      </c>
      <c r="E108" s="24" t="s">
        <v>16</v>
      </c>
      <c r="F108" s="61">
        <v>10.199999999999999</v>
      </c>
      <c r="G108" s="61">
        <v>19.559999999999999</v>
      </c>
      <c r="H108" s="61">
        <v>14.42</v>
      </c>
      <c r="I108" s="62"/>
      <c r="J108" s="63">
        <f>SUM(F108:H108)</f>
        <v>44.18</v>
      </c>
      <c r="K108" s="64">
        <v>11323</v>
      </c>
      <c r="L108" s="65">
        <v>15</v>
      </c>
      <c r="M108" s="49"/>
    </row>
    <row r="109" spans="1:13" ht="17.25" customHeight="1" x14ac:dyDescent="0.25">
      <c r="A109" s="35"/>
      <c r="B109" s="42"/>
      <c r="C109" s="66">
        <v>100</v>
      </c>
      <c r="D109" s="60" t="s">
        <v>124</v>
      </c>
      <c r="E109" s="24" t="s">
        <v>16</v>
      </c>
      <c r="F109" s="61">
        <v>10.3</v>
      </c>
      <c r="G109" s="61">
        <v>4.97</v>
      </c>
      <c r="H109" s="61">
        <v>0</v>
      </c>
      <c r="I109" s="62"/>
      <c r="J109" s="63">
        <f>SUM(F109:H109)</f>
        <v>15.27</v>
      </c>
      <c r="K109" s="64">
        <v>2950</v>
      </c>
      <c r="L109" s="65">
        <v>20</v>
      </c>
      <c r="M109" s="49"/>
    </row>
    <row r="110" spans="1:13" ht="17.25" customHeight="1" x14ac:dyDescent="0.25">
      <c r="A110" s="35"/>
      <c r="B110" s="42"/>
      <c r="C110" s="66">
        <v>101</v>
      </c>
      <c r="D110" s="60" t="s">
        <v>263</v>
      </c>
      <c r="E110" s="24" t="s">
        <v>16</v>
      </c>
      <c r="F110" s="61">
        <v>0</v>
      </c>
      <c r="G110" s="61">
        <v>48.77</v>
      </c>
      <c r="H110" s="61">
        <v>0</v>
      </c>
      <c r="I110" s="62"/>
      <c r="J110" s="63">
        <f>SUM(F110:H110)</f>
        <v>48.77</v>
      </c>
      <c r="K110" s="64">
        <v>29072</v>
      </c>
      <c r="L110" s="65">
        <v>96</v>
      </c>
      <c r="M110" s="49"/>
    </row>
    <row r="111" spans="1:13" ht="17.25" customHeight="1" x14ac:dyDescent="0.25">
      <c r="A111" s="35"/>
      <c r="B111" s="42"/>
      <c r="C111" s="66">
        <v>102</v>
      </c>
      <c r="D111" s="60" t="s">
        <v>125</v>
      </c>
      <c r="E111" s="24" t="s">
        <v>16</v>
      </c>
      <c r="F111" s="61">
        <v>4.54</v>
      </c>
      <c r="G111" s="61">
        <v>25.13</v>
      </c>
      <c r="H111" s="61">
        <v>5.81</v>
      </c>
      <c r="I111" s="62"/>
      <c r="J111" s="63">
        <f>SUM(F111:H111)</f>
        <v>35.479999999999997</v>
      </c>
      <c r="K111" s="64">
        <v>14769</v>
      </c>
      <c r="L111" s="65">
        <v>30</v>
      </c>
      <c r="M111" s="49"/>
    </row>
    <row r="112" spans="1:13" ht="17.25" customHeight="1" x14ac:dyDescent="0.25">
      <c r="A112" s="35"/>
      <c r="B112" s="42"/>
      <c r="C112" s="67">
        <v>103</v>
      </c>
      <c r="D112" s="60" t="s">
        <v>126</v>
      </c>
      <c r="E112" s="24" t="s">
        <v>16</v>
      </c>
      <c r="F112" s="61">
        <v>7.47</v>
      </c>
      <c r="G112" s="61">
        <v>3.47</v>
      </c>
      <c r="H112" s="61">
        <v>6.01</v>
      </c>
      <c r="I112" s="62"/>
      <c r="J112" s="63">
        <f>SUM(F112:H112)</f>
        <v>16.95</v>
      </c>
      <c r="K112" s="64">
        <v>2025</v>
      </c>
      <c r="L112" s="65">
        <v>23</v>
      </c>
      <c r="M112" s="49"/>
    </row>
    <row r="113" spans="1:13" ht="17.25" customHeight="1" x14ac:dyDescent="0.25">
      <c r="A113" s="96" t="s">
        <v>46</v>
      </c>
      <c r="B113" s="96"/>
      <c r="C113" s="96"/>
      <c r="D113" s="96"/>
      <c r="E113" s="28"/>
      <c r="F113" s="29">
        <f>SUM(F108:F112)</f>
        <v>32.51</v>
      </c>
      <c r="G113" s="29">
        <f>SUM(G108:G112)</f>
        <v>101.89999999999999</v>
      </c>
      <c r="H113" s="29">
        <v>28</v>
      </c>
      <c r="I113" s="29"/>
      <c r="J113" s="30">
        <f>SUM(J108:J112)</f>
        <v>160.64999999999998</v>
      </c>
      <c r="K113" s="31">
        <f>SUM(K108:K112)</f>
        <v>60139</v>
      </c>
      <c r="L113" s="31">
        <f>SUM(L108:L112)</f>
        <v>184</v>
      </c>
      <c r="M113" s="32"/>
    </row>
    <row r="114" spans="1:13" ht="17.25" customHeight="1" x14ac:dyDescent="0.25">
      <c r="A114" s="35" t="s">
        <v>127</v>
      </c>
      <c r="B114" s="36" t="s">
        <v>128</v>
      </c>
      <c r="C114" s="15">
        <v>104</v>
      </c>
      <c r="D114" s="68" t="s">
        <v>129</v>
      </c>
      <c r="E114" s="24" t="s">
        <v>16</v>
      </c>
      <c r="F114" s="18">
        <v>0</v>
      </c>
      <c r="G114" s="18">
        <v>144.49</v>
      </c>
      <c r="H114" s="18">
        <v>0</v>
      </c>
      <c r="I114" s="38"/>
      <c r="J114" s="18">
        <f t="shared" ref="J114:J153" si="7">SUM(F114:H114)</f>
        <v>144.49</v>
      </c>
      <c r="K114" s="64">
        <v>111083</v>
      </c>
      <c r="L114" s="20">
        <v>199</v>
      </c>
      <c r="M114" s="49"/>
    </row>
    <row r="115" spans="1:13" ht="17.25" customHeight="1" x14ac:dyDescent="0.25">
      <c r="A115" s="35"/>
      <c r="B115" s="42"/>
      <c r="C115" s="15">
        <v>105</v>
      </c>
      <c r="D115" s="16" t="s">
        <v>130</v>
      </c>
      <c r="E115" s="24" t="s">
        <v>16</v>
      </c>
      <c r="F115" s="18">
        <v>0</v>
      </c>
      <c r="G115" s="18">
        <v>38.42</v>
      </c>
      <c r="H115" s="18">
        <v>0</v>
      </c>
      <c r="I115" s="38"/>
      <c r="J115" s="18">
        <f t="shared" si="7"/>
        <v>38.42</v>
      </c>
      <c r="K115" s="64">
        <v>29129</v>
      </c>
      <c r="L115" s="20">
        <v>43</v>
      </c>
      <c r="M115" s="49"/>
    </row>
    <row r="116" spans="1:13" ht="17.25" customHeight="1" x14ac:dyDescent="0.25">
      <c r="A116" s="35"/>
      <c r="B116" s="42"/>
      <c r="C116" s="15">
        <v>106</v>
      </c>
      <c r="D116" s="16" t="s">
        <v>131</v>
      </c>
      <c r="E116" s="24" t="s">
        <v>16</v>
      </c>
      <c r="F116" s="18">
        <v>0</v>
      </c>
      <c r="G116" s="18">
        <v>102.96</v>
      </c>
      <c r="H116" s="18">
        <v>0</v>
      </c>
      <c r="I116" s="38"/>
      <c r="J116" s="18">
        <f t="shared" si="7"/>
        <v>102.96</v>
      </c>
      <c r="K116" s="64">
        <v>80957</v>
      </c>
      <c r="L116" s="20">
        <v>281</v>
      </c>
      <c r="M116" s="49"/>
    </row>
    <row r="117" spans="1:13" ht="17.25" customHeight="1" x14ac:dyDescent="0.25">
      <c r="A117" s="35"/>
      <c r="B117" s="42"/>
      <c r="C117" s="15">
        <v>107</v>
      </c>
      <c r="D117" s="16" t="s">
        <v>132</v>
      </c>
      <c r="E117" s="24" t="s">
        <v>16</v>
      </c>
      <c r="F117" s="18">
        <v>0</v>
      </c>
      <c r="G117" s="18">
        <v>10.02</v>
      </c>
      <c r="H117" s="18">
        <v>0</v>
      </c>
      <c r="I117" s="38"/>
      <c r="J117" s="18">
        <f t="shared" si="7"/>
        <v>10.02</v>
      </c>
      <c r="K117" s="64">
        <v>7837</v>
      </c>
      <c r="L117" s="20">
        <v>9</v>
      </c>
      <c r="M117" s="49"/>
    </row>
    <row r="118" spans="1:13" ht="17.25" customHeight="1" x14ac:dyDescent="0.25">
      <c r="A118" s="35"/>
      <c r="B118" s="42"/>
      <c r="C118" s="15">
        <v>108</v>
      </c>
      <c r="D118" s="16" t="s">
        <v>133</v>
      </c>
      <c r="E118" s="24" t="s">
        <v>16</v>
      </c>
      <c r="F118" s="18">
        <v>9.7899999999999991</v>
      </c>
      <c r="G118" s="18">
        <v>123.17</v>
      </c>
      <c r="H118" s="18">
        <v>5.26</v>
      </c>
      <c r="I118" s="38"/>
      <c r="J118" s="18">
        <f t="shared" si="7"/>
        <v>138.22</v>
      </c>
      <c r="K118" s="64">
        <v>94527</v>
      </c>
      <c r="L118" s="20">
        <v>251</v>
      </c>
      <c r="M118" s="49"/>
    </row>
    <row r="119" spans="1:13" ht="17.25" customHeight="1" x14ac:dyDescent="0.25">
      <c r="A119" s="35"/>
      <c r="B119" s="42"/>
      <c r="C119" s="15">
        <v>109</v>
      </c>
      <c r="D119" s="16" t="s">
        <v>134</v>
      </c>
      <c r="E119" s="24" t="s">
        <v>16</v>
      </c>
      <c r="F119" s="18">
        <v>0</v>
      </c>
      <c r="G119" s="18">
        <v>159.72</v>
      </c>
      <c r="H119" s="18">
        <v>0</v>
      </c>
      <c r="I119" s="38"/>
      <c r="J119" s="18">
        <f t="shared" si="7"/>
        <v>159.72</v>
      </c>
      <c r="K119" s="64">
        <v>120931</v>
      </c>
      <c r="L119" s="20">
        <v>211</v>
      </c>
      <c r="M119" s="49"/>
    </row>
    <row r="120" spans="1:13" ht="17.25" customHeight="1" x14ac:dyDescent="0.25">
      <c r="A120" s="35"/>
      <c r="B120" s="42"/>
      <c r="C120" s="15">
        <v>110</v>
      </c>
      <c r="D120" s="16" t="s">
        <v>135</v>
      </c>
      <c r="E120" s="24" t="s">
        <v>16</v>
      </c>
      <c r="F120" s="18">
        <v>0</v>
      </c>
      <c r="G120" s="18">
        <v>34.32</v>
      </c>
      <c r="H120" s="18">
        <v>0</v>
      </c>
      <c r="I120" s="38"/>
      <c r="J120" s="18">
        <f t="shared" si="7"/>
        <v>34.32</v>
      </c>
      <c r="K120" s="64">
        <v>26907</v>
      </c>
      <c r="L120" s="20">
        <v>185</v>
      </c>
      <c r="M120" s="49"/>
    </row>
    <row r="121" spans="1:13" ht="17.25" customHeight="1" x14ac:dyDescent="0.25">
      <c r="A121" s="35"/>
      <c r="B121" s="42"/>
      <c r="C121" s="15">
        <v>111</v>
      </c>
      <c r="D121" s="16" t="s">
        <v>136</v>
      </c>
      <c r="E121" s="24" t="s">
        <v>16</v>
      </c>
      <c r="F121" s="18">
        <v>0</v>
      </c>
      <c r="G121" s="18">
        <v>21.85</v>
      </c>
      <c r="H121" s="18">
        <v>0</v>
      </c>
      <c r="I121" s="38"/>
      <c r="J121" s="18">
        <f t="shared" si="7"/>
        <v>21.85</v>
      </c>
      <c r="K121" s="64">
        <v>17308</v>
      </c>
      <c r="L121" s="20">
        <v>44</v>
      </c>
      <c r="M121" s="49"/>
    </row>
    <row r="122" spans="1:13" ht="17.25" customHeight="1" x14ac:dyDescent="0.25">
      <c r="A122" s="35"/>
      <c r="B122" s="42"/>
      <c r="C122" s="15">
        <v>112</v>
      </c>
      <c r="D122" s="16" t="s">
        <v>137</v>
      </c>
      <c r="E122" s="24" t="s">
        <v>16</v>
      </c>
      <c r="F122" s="18">
        <v>0</v>
      </c>
      <c r="G122" s="18">
        <v>33.03</v>
      </c>
      <c r="H122" s="18">
        <v>0</v>
      </c>
      <c r="I122" s="38"/>
      <c r="J122" s="18">
        <f t="shared" si="7"/>
        <v>33.03</v>
      </c>
      <c r="K122" s="64">
        <v>25233</v>
      </c>
      <c r="L122" s="20">
        <v>81</v>
      </c>
      <c r="M122" s="49"/>
    </row>
    <row r="123" spans="1:13" ht="17.25" customHeight="1" x14ac:dyDescent="0.25">
      <c r="A123" s="35"/>
      <c r="B123" s="42"/>
      <c r="C123" s="15">
        <v>113</v>
      </c>
      <c r="D123" s="16" t="s">
        <v>138</v>
      </c>
      <c r="E123" s="24" t="s">
        <v>16</v>
      </c>
      <c r="F123" s="18">
        <v>6.56</v>
      </c>
      <c r="G123" s="18">
        <v>30.69</v>
      </c>
      <c r="H123" s="18">
        <v>48.09</v>
      </c>
      <c r="I123" s="38"/>
      <c r="J123" s="18">
        <f t="shared" si="7"/>
        <v>85.34</v>
      </c>
      <c r="K123" s="64">
        <v>23334</v>
      </c>
      <c r="L123" s="20">
        <v>173</v>
      </c>
      <c r="M123" s="49"/>
    </row>
    <row r="124" spans="1:13" ht="17.25" customHeight="1" x14ac:dyDescent="0.25">
      <c r="A124" s="35"/>
      <c r="B124" s="42"/>
      <c r="C124" s="15">
        <v>114</v>
      </c>
      <c r="D124" s="16" t="s">
        <v>139</v>
      </c>
      <c r="E124" s="24" t="s">
        <v>16</v>
      </c>
      <c r="F124" s="18">
        <v>5.83</v>
      </c>
      <c r="G124" s="18">
        <v>80.58</v>
      </c>
      <c r="H124" s="18">
        <v>3.99</v>
      </c>
      <c r="I124" s="38"/>
      <c r="J124" s="18">
        <f t="shared" si="7"/>
        <v>90.399999999999991</v>
      </c>
      <c r="K124" s="64">
        <v>63589</v>
      </c>
      <c r="L124" s="20">
        <v>215</v>
      </c>
      <c r="M124" s="49"/>
    </row>
    <row r="125" spans="1:13" ht="17.25" customHeight="1" x14ac:dyDescent="0.25">
      <c r="A125" s="35"/>
      <c r="B125" s="42"/>
      <c r="C125" s="15">
        <v>115</v>
      </c>
      <c r="D125" s="16" t="s">
        <v>140</v>
      </c>
      <c r="E125" s="24" t="s">
        <v>16</v>
      </c>
      <c r="F125" s="18">
        <v>0</v>
      </c>
      <c r="G125" s="18">
        <v>141.38999999999999</v>
      </c>
      <c r="H125" s="18">
        <v>0</v>
      </c>
      <c r="I125" s="38"/>
      <c r="J125" s="18">
        <f t="shared" si="7"/>
        <v>141.38999999999999</v>
      </c>
      <c r="K125" s="64">
        <v>110323</v>
      </c>
      <c r="L125" s="20">
        <v>208</v>
      </c>
      <c r="M125" s="49"/>
    </row>
    <row r="126" spans="1:13" ht="17.25" customHeight="1" x14ac:dyDescent="0.25">
      <c r="A126" s="35"/>
      <c r="B126" s="42"/>
      <c r="C126" s="15">
        <v>116</v>
      </c>
      <c r="D126" s="16" t="s">
        <v>141</v>
      </c>
      <c r="E126" s="24" t="s">
        <v>16</v>
      </c>
      <c r="F126" s="18">
        <v>0</v>
      </c>
      <c r="G126" s="18">
        <v>40.69</v>
      </c>
      <c r="H126" s="18">
        <v>0</v>
      </c>
      <c r="I126" s="38"/>
      <c r="J126" s="18">
        <f t="shared" si="7"/>
        <v>40.69</v>
      </c>
      <c r="K126" s="64">
        <v>31448</v>
      </c>
      <c r="L126" s="20">
        <v>71</v>
      </c>
      <c r="M126" s="49"/>
    </row>
    <row r="127" spans="1:13" ht="17.25" customHeight="1" x14ac:dyDescent="0.25">
      <c r="A127" s="35"/>
      <c r="B127" s="42"/>
      <c r="C127" s="15">
        <v>117</v>
      </c>
      <c r="D127" s="16" t="s">
        <v>142</v>
      </c>
      <c r="E127" s="24" t="s">
        <v>16</v>
      </c>
      <c r="F127" s="18">
        <v>0</v>
      </c>
      <c r="G127" s="69">
        <v>200.08</v>
      </c>
      <c r="H127" s="18">
        <v>0</v>
      </c>
      <c r="I127" s="38"/>
      <c r="J127" s="18">
        <f t="shared" si="7"/>
        <v>200.08</v>
      </c>
      <c r="K127" s="64">
        <v>153766</v>
      </c>
      <c r="L127" s="20">
        <v>238</v>
      </c>
      <c r="M127" s="49"/>
    </row>
    <row r="128" spans="1:13" ht="17.25" customHeight="1" x14ac:dyDescent="0.25">
      <c r="A128" s="35"/>
      <c r="B128" s="42"/>
      <c r="C128" s="70">
        <v>118</v>
      </c>
      <c r="D128" s="57" t="s">
        <v>143</v>
      </c>
      <c r="E128" s="24" t="s">
        <v>16</v>
      </c>
      <c r="F128" s="26">
        <v>2.14</v>
      </c>
      <c r="G128" s="71">
        <v>16.059999999999999</v>
      </c>
      <c r="H128" s="26">
        <v>2.58</v>
      </c>
      <c r="I128" s="72"/>
      <c r="J128" s="26">
        <f t="shared" si="7"/>
        <v>20.78</v>
      </c>
      <c r="K128" s="73">
        <v>12349</v>
      </c>
      <c r="L128" s="20">
        <v>87</v>
      </c>
      <c r="M128" s="49"/>
    </row>
    <row r="129" spans="1:13" ht="17.25" customHeight="1" x14ac:dyDescent="0.25">
      <c r="A129" s="35"/>
      <c r="B129" s="42"/>
      <c r="C129" s="70">
        <v>119</v>
      </c>
      <c r="D129" s="57" t="s">
        <v>144</v>
      </c>
      <c r="E129" s="24" t="s">
        <v>16</v>
      </c>
      <c r="F129" s="26">
        <v>0</v>
      </c>
      <c r="G129" s="71">
        <v>4827.04</v>
      </c>
      <c r="H129" s="26">
        <v>0</v>
      </c>
      <c r="I129" s="72"/>
      <c r="J129" s="26">
        <f t="shared" si="7"/>
        <v>4827.04</v>
      </c>
      <c r="K129" s="73">
        <v>3690777</v>
      </c>
      <c r="L129" s="20">
        <v>376</v>
      </c>
      <c r="M129" s="49"/>
    </row>
    <row r="130" spans="1:13" ht="17.25" customHeight="1" x14ac:dyDescent="0.25">
      <c r="A130" s="35"/>
      <c r="B130" s="42"/>
      <c r="C130" s="70">
        <v>120</v>
      </c>
      <c r="D130" s="57" t="s">
        <v>145</v>
      </c>
      <c r="E130" s="24" t="s">
        <v>16</v>
      </c>
      <c r="F130" s="26">
        <v>0</v>
      </c>
      <c r="G130" s="71">
        <v>18.760000000000002</v>
      </c>
      <c r="H130" s="26">
        <v>0</v>
      </c>
      <c r="I130" s="72"/>
      <c r="J130" s="26">
        <f t="shared" si="7"/>
        <v>18.760000000000002</v>
      </c>
      <c r="K130" s="73">
        <v>14234</v>
      </c>
      <c r="L130" s="20">
        <v>132</v>
      </c>
      <c r="M130" s="49"/>
    </row>
    <row r="131" spans="1:13" ht="17.25" customHeight="1" x14ac:dyDescent="0.25">
      <c r="A131" s="35"/>
      <c r="B131" s="42"/>
      <c r="C131" s="70">
        <v>121</v>
      </c>
      <c r="D131" s="57" t="s">
        <v>146</v>
      </c>
      <c r="E131" s="24" t="s">
        <v>16</v>
      </c>
      <c r="F131" s="26">
        <v>6.61</v>
      </c>
      <c r="G131" s="71">
        <v>193.33</v>
      </c>
      <c r="H131" s="26">
        <v>4.01</v>
      </c>
      <c r="I131" s="72"/>
      <c r="J131" s="26">
        <f t="shared" si="7"/>
        <v>203.95000000000002</v>
      </c>
      <c r="K131" s="73">
        <v>153227</v>
      </c>
      <c r="L131" s="20">
        <v>246</v>
      </c>
      <c r="M131" s="49"/>
    </row>
    <row r="132" spans="1:13" ht="17.25" customHeight="1" x14ac:dyDescent="0.25">
      <c r="A132" s="35"/>
      <c r="B132" s="42"/>
      <c r="C132" s="15">
        <v>122</v>
      </c>
      <c r="D132" s="16" t="s">
        <v>147</v>
      </c>
      <c r="E132" s="24" t="s">
        <v>16</v>
      </c>
      <c r="F132" s="18">
        <v>0</v>
      </c>
      <c r="G132" s="69">
        <v>26.47</v>
      </c>
      <c r="H132" s="18">
        <v>0</v>
      </c>
      <c r="I132" s="38"/>
      <c r="J132" s="18">
        <f t="shared" si="7"/>
        <v>26.47</v>
      </c>
      <c r="K132" s="64">
        <v>20471</v>
      </c>
      <c r="L132" s="20">
        <v>38</v>
      </c>
      <c r="M132" s="49"/>
    </row>
    <row r="133" spans="1:13" ht="17.25" customHeight="1" x14ac:dyDescent="0.25">
      <c r="A133" s="35"/>
      <c r="B133" s="42"/>
      <c r="C133" s="15">
        <v>123</v>
      </c>
      <c r="D133" s="16" t="s">
        <v>148</v>
      </c>
      <c r="E133" s="24" t="s">
        <v>16</v>
      </c>
      <c r="F133" s="18">
        <v>0</v>
      </c>
      <c r="G133" s="69">
        <v>61.02</v>
      </c>
      <c r="H133" s="18">
        <v>0</v>
      </c>
      <c r="I133" s="38"/>
      <c r="J133" s="18">
        <f t="shared" si="7"/>
        <v>61.02</v>
      </c>
      <c r="K133" s="64">
        <v>46731</v>
      </c>
      <c r="L133" s="20">
        <v>154</v>
      </c>
      <c r="M133" s="49"/>
    </row>
    <row r="134" spans="1:13" ht="17.25" customHeight="1" x14ac:dyDescent="0.25">
      <c r="A134" s="35"/>
      <c r="B134" s="42"/>
      <c r="C134" s="15">
        <v>124</v>
      </c>
      <c r="D134" s="16" t="s">
        <v>149</v>
      </c>
      <c r="E134" s="24" t="s">
        <v>16</v>
      </c>
      <c r="F134" s="18">
        <v>0</v>
      </c>
      <c r="G134" s="69">
        <v>98.56</v>
      </c>
      <c r="H134" s="18">
        <v>0</v>
      </c>
      <c r="I134" s="38"/>
      <c r="J134" s="18">
        <f t="shared" si="7"/>
        <v>98.56</v>
      </c>
      <c r="K134" s="64">
        <v>77899</v>
      </c>
      <c r="L134" s="20">
        <v>159</v>
      </c>
      <c r="M134" s="49"/>
    </row>
    <row r="135" spans="1:13" ht="17.25" customHeight="1" x14ac:dyDescent="0.25">
      <c r="A135" s="35"/>
      <c r="B135" s="42"/>
      <c r="C135" s="15">
        <v>125</v>
      </c>
      <c r="D135" s="16" t="s">
        <v>150</v>
      </c>
      <c r="E135" s="24" t="s">
        <v>16</v>
      </c>
      <c r="F135" s="18">
        <v>0</v>
      </c>
      <c r="G135" s="69">
        <v>70.3</v>
      </c>
      <c r="H135" s="18">
        <v>0</v>
      </c>
      <c r="I135" s="38"/>
      <c r="J135" s="18">
        <f t="shared" si="7"/>
        <v>70.3</v>
      </c>
      <c r="K135" s="64">
        <v>54524</v>
      </c>
      <c r="L135" s="20">
        <v>107</v>
      </c>
      <c r="M135" s="49"/>
    </row>
    <row r="136" spans="1:13" ht="17.25" customHeight="1" x14ac:dyDescent="0.25">
      <c r="A136" s="35"/>
      <c r="B136" s="42"/>
      <c r="C136" s="15">
        <v>126</v>
      </c>
      <c r="D136" s="16" t="s">
        <v>151</v>
      </c>
      <c r="E136" s="24" t="s">
        <v>16</v>
      </c>
      <c r="F136" s="18">
        <v>0</v>
      </c>
      <c r="G136" s="69">
        <v>67.41</v>
      </c>
      <c r="H136" s="18">
        <v>0</v>
      </c>
      <c r="I136" s="38"/>
      <c r="J136" s="18">
        <f t="shared" si="7"/>
        <v>67.41</v>
      </c>
      <c r="K136" s="64">
        <v>53281</v>
      </c>
      <c r="L136" s="20">
        <v>234</v>
      </c>
      <c r="M136" s="49"/>
    </row>
    <row r="137" spans="1:13" ht="17.25" customHeight="1" x14ac:dyDescent="0.25">
      <c r="A137" s="35"/>
      <c r="B137" s="42"/>
      <c r="C137" s="15">
        <v>127</v>
      </c>
      <c r="D137" s="57" t="s">
        <v>152</v>
      </c>
      <c r="E137" s="24" t="s">
        <v>16</v>
      </c>
      <c r="F137" s="26">
        <v>69.11</v>
      </c>
      <c r="G137" s="71">
        <v>789.87</v>
      </c>
      <c r="H137" s="26">
        <v>67.91</v>
      </c>
      <c r="I137" s="72"/>
      <c r="J137" s="26">
        <f t="shared" si="7"/>
        <v>926.89</v>
      </c>
      <c r="K137" s="73">
        <v>598279</v>
      </c>
      <c r="L137" s="20">
        <v>198</v>
      </c>
      <c r="M137" s="49"/>
    </row>
    <row r="138" spans="1:13" ht="17.25" customHeight="1" x14ac:dyDescent="0.25">
      <c r="A138" s="35"/>
      <c r="B138" s="42"/>
      <c r="C138" s="15">
        <v>128</v>
      </c>
      <c r="D138" s="16" t="s">
        <v>153</v>
      </c>
      <c r="E138" s="24" t="s">
        <v>16</v>
      </c>
      <c r="F138" s="18">
        <v>0</v>
      </c>
      <c r="G138" s="69">
        <v>107.44</v>
      </c>
      <c r="H138" s="18">
        <v>0</v>
      </c>
      <c r="I138" s="38"/>
      <c r="J138" s="18">
        <f t="shared" si="7"/>
        <v>107.44</v>
      </c>
      <c r="K138" s="64">
        <v>82285</v>
      </c>
      <c r="L138" s="20">
        <v>209</v>
      </c>
      <c r="M138" s="49"/>
    </row>
    <row r="139" spans="1:13" ht="17.25" customHeight="1" x14ac:dyDescent="0.25">
      <c r="A139" s="35"/>
      <c r="B139" s="42"/>
      <c r="C139" s="15">
        <v>129</v>
      </c>
      <c r="D139" s="16" t="s">
        <v>154</v>
      </c>
      <c r="E139" s="24" t="s">
        <v>16</v>
      </c>
      <c r="F139" s="18">
        <v>0</v>
      </c>
      <c r="G139" s="69">
        <v>101.91</v>
      </c>
      <c r="H139" s="18">
        <v>0</v>
      </c>
      <c r="I139" s="38"/>
      <c r="J139" s="18">
        <f t="shared" si="7"/>
        <v>101.91</v>
      </c>
      <c r="K139" s="64">
        <v>78920</v>
      </c>
      <c r="L139" s="20">
        <v>158</v>
      </c>
      <c r="M139" s="49"/>
    </row>
    <row r="140" spans="1:13" ht="17.25" customHeight="1" x14ac:dyDescent="0.25">
      <c r="A140" s="35"/>
      <c r="B140" s="42"/>
      <c r="C140" s="15">
        <v>130</v>
      </c>
      <c r="D140" s="16" t="s">
        <v>155</v>
      </c>
      <c r="E140" s="24" t="s">
        <v>16</v>
      </c>
      <c r="F140" s="18">
        <v>0</v>
      </c>
      <c r="G140" s="69">
        <v>322</v>
      </c>
      <c r="H140" s="18">
        <v>0</v>
      </c>
      <c r="I140" s="38"/>
      <c r="J140" s="18">
        <f t="shared" si="7"/>
        <v>322</v>
      </c>
      <c r="K140" s="64">
        <v>245004</v>
      </c>
      <c r="L140" s="20">
        <v>131</v>
      </c>
      <c r="M140" s="49"/>
    </row>
    <row r="141" spans="1:13" ht="17.25" customHeight="1" x14ac:dyDescent="0.25">
      <c r="A141" s="35"/>
      <c r="B141" s="42"/>
      <c r="C141" s="15">
        <v>131</v>
      </c>
      <c r="D141" s="16" t="s">
        <v>156</v>
      </c>
      <c r="E141" s="24" t="s">
        <v>16</v>
      </c>
      <c r="F141" s="18">
        <v>13.41</v>
      </c>
      <c r="G141" s="69">
        <v>55.48</v>
      </c>
      <c r="H141" s="18">
        <v>16.309999999999999</v>
      </c>
      <c r="I141" s="38"/>
      <c r="J141" s="18">
        <f t="shared" si="7"/>
        <v>85.2</v>
      </c>
      <c r="K141" s="64">
        <v>43794</v>
      </c>
      <c r="L141" s="20">
        <v>61</v>
      </c>
      <c r="M141" s="49"/>
    </row>
    <row r="142" spans="1:13" ht="17.25" customHeight="1" x14ac:dyDescent="0.25">
      <c r="A142" s="35"/>
      <c r="B142" s="42"/>
      <c r="C142" s="15">
        <v>132</v>
      </c>
      <c r="D142" s="16" t="s">
        <v>157</v>
      </c>
      <c r="E142" s="24" t="s">
        <v>16</v>
      </c>
      <c r="F142" s="18">
        <v>1.07</v>
      </c>
      <c r="G142" s="69">
        <v>81.47</v>
      </c>
      <c r="H142" s="18">
        <v>0</v>
      </c>
      <c r="I142" s="38"/>
      <c r="J142" s="18">
        <f t="shared" si="7"/>
        <v>82.539999999999992</v>
      </c>
      <c r="K142" s="64">
        <v>61915</v>
      </c>
      <c r="L142" s="20">
        <v>131</v>
      </c>
      <c r="M142" s="49"/>
    </row>
    <row r="143" spans="1:13" ht="17.25" customHeight="1" x14ac:dyDescent="0.25">
      <c r="A143" s="35"/>
      <c r="B143" s="42"/>
      <c r="C143" s="15">
        <v>133</v>
      </c>
      <c r="D143" s="16" t="s">
        <v>158</v>
      </c>
      <c r="E143" s="24" t="s">
        <v>16</v>
      </c>
      <c r="F143" s="18">
        <v>0</v>
      </c>
      <c r="G143" s="69">
        <v>53.8</v>
      </c>
      <c r="H143" s="18">
        <v>0</v>
      </c>
      <c r="I143" s="38"/>
      <c r="J143" s="18">
        <f t="shared" si="7"/>
        <v>53.8</v>
      </c>
      <c r="K143" s="64">
        <v>42261</v>
      </c>
      <c r="L143" s="20">
        <v>87</v>
      </c>
      <c r="M143" s="49"/>
    </row>
    <row r="144" spans="1:13" ht="17.25" customHeight="1" x14ac:dyDescent="0.25">
      <c r="A144" s="35"/>
      <c r="B144" s="42"/>
      <c r="C144" s="15">
        <v>134</v>
      </c>
      <c r="D144" s="16" t="s">
        <v>159</v>
      </c>
      <c r="E144" s="24" t="s">
        <v>16</v>
      </c>
      <c r="F144" s="18">
        <v>0</v>
      </c>
      <c r="G144" s="69">
        <v>42.55</v>
      </c>
      <c r="H144" s="18">
        <v>0</v>
      </c>
      <c r="I144" s="38"/>
      <c r="J144" s="18">
        <f t="shared" si="7"/>
        <v>42.55</v>
      </c>
      <c r="K144" s="64">
        <v>33325</v>
      </c>
      <c r="L144" s="20">
        <v>110</v>
      </c>
      <c r="M144" s="49"/>
    </row>
    <row r="145" spans="1:13" ht="17.25" customHeight="1" x14ac:dyDescent="0.25">
      <c r="A145" s="35"/>
      <c r="B145" s="42"/>
      <c r="C145" s="15">
        <v>135</v>
      </c>
      <c r="D145" s="16" t="s">
        <v>160</v>
      </c>
      <c r="E145" s="24" t="s">
        <v>16</v>
      </c>
      <c r="F145" s="18">
        <v>0</v>
      </c>
      <c r="G145" s="69">
        <v>73.59</v>
      </c>
      <c r="H145" s="18">
        <v>0</v>
      </c>
      <c r="I145" s="38"/>
      <c r="J145" s="18">
        <f t="shared" si="7"/>
        <v>73.59</v>
      </c>
      <c r="K145" s="64">
        <v>56772</v>
      </c>
      <c r="L145" s="20">
        <v>212</v>
      </c>
      <c r="M145" s="49"/>
    </row>
    <row r="146" spans="1:13" ht="17.25" customHeight="1" x14ac:dyDescent="0.25">
      <c r="A146" s="35"/>
      <c r="B146" s="42"/>
      <c r="C146" s="15">
        <v>136</v>
      </c>
      <c r="D146" s="16" t="s">
        <v>161</v>
      </c>
      <c r="E146" s="24" t="s">
        <v>16</v>
      </c>
      <c r="F146" s="18">
        <v>0</v>
      </c>
      <c r="G146" s="69">
        <v>32.729999999999997</v>
      </c>
      <c r="H146" s="18">
        <v>0</v>
      </c>
      <c r="I146" s="38"/>
      <c r="J146" s="18">
        <f t="shared" si="7"/>
        <v>32.729999999999997</v>
      </c>
      <c r="K146" s="64">
        <v>24932</v>
      </c>
      <c r="L146" s="20">
        <v>69</v>
      </c>
      <c r="M146" s="49"/>
    </row>
    <row r="147" spans="1:13" ht="17.25" customHeight="1" x14ac:dyDescent="0.25">
      <c r="A147" s="35"/>
      <c r="B147" s="42"/>
      <c r="C147" s="15">
        <v>137</v>
      </c>
      <c r="D147" s="16" t="s">
        <v>162</v>
      </c>
      <c r="E147" s="24" t="s">
        <v>16</v>
      </c>
      <c r="F147" s="18">
        <v>0</v>
      </c>
      <c r="G147" s="69">
        <v>24.75</v>
      </c>
      <c r="H147" s="18">
        <v>0</v>
      </c>
      <c r="I147" s="38"/>
      <c r="J147" s="18">
        <f t="shared" si="7"/>
        <v>24.75</v>
      </c>
      <c r="K147" s="64">
        <v>18861</v>
      </c>
      <c r="L147" s="20">
        <v>31</v>
      </c>
      <c r="M147" s="49"/>
    </row>
    <row r="148" spans="1:13" ht="17.25" customHeight="1" x14ac:dyDescent="0.25">
      <c r="A148" s="35"/>
      <c r="B148" s="42"/>
      <c r="C148" s="15">
        <v>138</v>
      </c>
      <c r="D148" s="16" t="s">
        <v>163</v>
      </c>
      <c r="E148" s="24" t="s">
        <v>16</v>
      </c>
      <c r="F148" s="18">
        <v>1.54</v>
      </c>
      <c r="G148" s="69">
        <v>13.17</v>
      </c>
      <c r="H148" s="18">
        <v>2.92</v>
      </c>
      <c r="I148" s="38"/>
      <c r="J148" s="18">
        <f t="shared" si="7"/>
        <v>17.630000000000003</v>
      </c>
      <c r="K148" s="64">
        <v>10438</v>
      </c>
      <c r="L148" s="20">
        <v>21</v>
      </c>
      <c r="M148" s="49"/>
    </row>
    <row r="149" spans="1:13" ht="17.25" customHeight="1" x14ac:dyDescent="0.25">
      <c r="A149" s="35"/>
      <c r="B149" s="42"/>
      <c r="C149" s="15">
        <v>139</v>
      </c>
      <c r="D149" s="16" t="s">
        <v>164</v>
      </c>
      <c r="E149" s="24" t="s">
        <v>16</v>
      </c>
      <c r="F149" s="18">
        <v>0</v>
      </c>
      <c r="G149" s="69">
        <v>112.97</v>
      </c>
      <c r="H149" s="18">
        <v>0</v>
      </c>
      <c r="I149" s="38"/>
      <c r="J149" s="18">
        <f t="shared" si="7"/>
        <v>112.97</v>
      </c>
      <c r="K149" s="64">
        <v>87742</v>
      </c>
      <c r="L149" s="20">
        <v>244</v>
      </c>
      <c r="M149" s="49"/>
    </row>
    <row r="150" spans="1:13" ht="17.25" customHeight="1" x14ac:dyDescent="0.25">
      <c r="A150" s="35"/>
      <c r="B150" s="42"/>
      <c r="C150" s="15">
        <v>140</v>
      </c>
      <c r="D150" s="16" t="s">
        <v>165</v>
      </c>
      <c r="E150" s="24" t="s">
        <v>16</v>
      </c>
      <c r="F150" s="18">
        <v>0</v>
      </c>
      <c r="G150" s="69">
        <v>3.33</v>
      </c>
      <c r="H150" s="18">
        <v>0</v>
      </c>
      <c r="I150" s="38"/>
      <c r="J150" s="18">
        <f t="shared" si="7"/>
        <v>3.33</v>
      </c>
      <c r="K150" s="64">
        <v>2582</v>
      </c>
      <c r="L150" s="20">
        <v>10</v>
      </c>
      <c r="M150" s="49"/>
    </row>
    <row r="151" spans="1:13" ht="17.25" customHeight="1" x14ac:dyDescent="0.25">
      <c r="A151" s="35"/>
      <c r="B151" s="42"/>
      <c r="C151" s="15">
        <v>141</v>
      </c>
      <c r="D151" s="16" t="s">
        <v>166</v>
      </c>
      <c r="E151" s="24" t="s">
        <v>16</v>
      </c>
      <c r="F151" s="18">
        <v>0</v>
      </c>
      <c r="G151" s="69">
        <v>0</v>
      </c>
      <c r="H151" s="18">
        <v>0</v>
      </c>
      <c r="I151" s="38"/>
      <c r="J151" s="18">
        <f t="shared" si="7"/>
        <v>0</v>
      </c>
      <c r="K151" s="64">
        <v>0</v>
      </c>
      <c r="L151" s="20"/>
      <c r="M151" s="49"/>
    </row>
    <row r="152" spans="1:13" ht="17.25" customHeight="1" x14ac:dyDescent="0.25">
      <c r="A152" s="35"/>
      <c r="B152" s="42"/>
      <c r="C152" s="15">
        <v>142</v>
      </c>
      <c r="D152" s="16" t="s">
        <v>167</v>
      </c>
      <c r="E152" s="24" t="s">
        <v>16</v>
      </c>
      <c r="F152" s="18">
        <v>0</v>
      </c>
      <c r="G152" s="69">
        <v>122.37</v>
      </c>
      <c r="H152" s="18">
        <v>0</v>
      </c>
      <c r="I152" s="38"/>
      <c r="J152" s="18">
        <f t="shared" si="7"/>
        <v>122.37</v>
      </c>
      <c r="K152" s="64">
        <v>94594</v>
      </c>
      <c r="L152" s="20">
        <v>224</v>
      </c>
      <c r="M152" s="49"/>
    </row>
    <row r="153" spans="1:13" ht="17.25" customHeight="1" x14ac:dyDescent="0.25">
      <c r="A153" s="35"/>
      <c r="B153" s="42"/>
      <c r="C153" s="15">
        <v>143</v>
      </c>
      <c r="D153" s="16" t="s">
        <v>168</v>
      </c>
      <c r="E153" s="24" t="s">
        <v>16</v>
      </c>
      <c r="F153" s="18">
        <v>0</v>
      </c>
      <c r="G153" s="69">
        <v>32.549999999999997</v>
      </c>
      <c r="H153" s="18">
        <v>0</v>
      </c>
      <c r="I153" s="38"/>
      <c r="J153" s="18">
        <f t="shared" si="7"/>
        <v>32.549999999999997</v>
      </c>
      <c r="K153" s="64">
        <v>24868</v>
      </c>
      <c r="L153" s="20">
        <v>68</v>
      </c>
      <c r="M153" s="49"/>
    </row>
    <row r="154" spans="1:13" ht="17.25" customHeight="1" x14ac:dyDescent="0.25">
      <c r="A154" s="96" t="s">
        <v>46</v>
      </c>
      <c r="B154" s="96"/>
      <c r="C154" s="96"/>
      <c r="D154" s="96"/>
      <c r="E154" s="28"/>
      <c r="F154" s="29">
        <f>SUM(F114:F153)</f>
        <v>116.05999999999999</v>
      </c>
      <c r="G154" s="29">
        <f>SUM(G114:G153)</f>
        <v>8510.34</v>
      </c>
      <c r="H154" s="29">
        <f>SUM(H114:H153)</f>
        <v>151.07</v>
      </c>
      <c r="I154" s="29"/>
      <c r="J154" s="30">
        <f>SUM(J114:J153)</f>
        <v>8777.4699999999975</v>
      </c>
      <c r="K154" s="31">
        <f>SUM(K108:K153)</f>
        <v>6646715</v>
      </c>
      <c r="L154" s="31">
        <f>SUM(L114:L153)</f>
        <v>5706</v>
      </c>
      <c r="M154" s="32"/>
    </row>
    <row r="155" spans="1:13" ht="17.25" customHeight="1" x14ac:dyDescent="0.25">
      <c r="A155" s="35" t="s">
        <v>169</v>
      </c>
      <c r="B155" s="36" t="s">
        <v>170</v>
      </c>
      <c r="C155" s="15">
        <v>144</v>
      </c>
      <c r="D155" s="54" t="s">
        <v>171</v>
      </c>
      <c r="E155" s="24" t="s">
        <v>16</v>
      </c>
      <c r="F155" s="18">
        <v>10.26</v>
      </c>
      <c r="G155" s="18">
        <v>117.81</v>
      </c>
      <c r="H155" s="63">
        <v>4.8</v>
      </c>
      <c r="I155" s="42"/>
      <c r="J155" s="63">
        <f t="shared" ref="J155:J166" si="8">SUM(F155:H155)</f>
        <v>132.87</v>
      </c>
      <c r="K155" s="74">
        <v>92835</v>
      </c>
      <c r="L155" s="20">
        <v>108</v>
      </c>
      <c r="M155" s="49"/>
    </row>
    <row r="156" spans="1:13" ht="17.25" customHeight="1" x14ac:dyDescent="0.25">
      <c r="A156" s="35"/>
      <c r="B156" s="42"/>
      <c r="C156" s="15">
        <v>145</v>
      </c>
      <c r="D156" s="57" t="s">
        <v>172</v>
      </c>
      <c r="E156" s="24" t="s">
        <v>16</v>
      </c>
      <c r="F156" s="18">
        <v>4.57</v>
      </c>
      <c r="G156" s="18">
        <v>58.35</v>
      </c>
      <c r="H156" s="63">
        <v>0.99</v>
      </c>
      <c r="I156" s="42"/>
      <c r="J156" s="63">
        <f t="shared" si="8"/>
        <v>63.910000000000004</v>
      </c>
      <c r="K156" s="74">
        <v>45449</v>
      </c>
      <c r="L156" s="20">
        <v>94</v>
      </c>
      <c r="M156" s="75"/>
    </row>
    <row r="157" spans="1:13" ht="17.25" customHeight="1" x14ac:dyDescent="0.25">
      <c r="A157" s="35"/>
      <c r="B157" s="42"/>
      <c r="C157" s="15">
        <v>146</v>
      </c>
      <c r="D157" s="57" t="s">
        <v>173</v>
      </c>
      <c r="E157" s="24" t="s">
        <v>16</v>
      </c>
      <c r="F157" s="18">
        <v>6.25</v>
      </c>
      <c r="G157" s="18">
        <v>88.21</v>
      </c>
      <c r="H157" s="63">
        <v>1.91</v>
      </c>
      <c r="I157" s="42"/>
      <c r="J157" s="63">
        <f t="shared" si="8"/>
        <v>96.36999999999999</v>
      </c>
      <c r="K157" s="74">
        <v>70108</v>
      </c>
      <c r="L157" s="20">
        <v>130</v>
      </c>
      <c r="M157" s="49"/>
    </row>
    <row r="158" spans="1:13" ht="17.25" customHeight="1" x14ac:dyDescent="0.25">
      <c r="A158" s="35"/>
      <c r="B158" s="42"/>
      <c r="C158" s="15">
        <v>147</v>
      </c>
      <c r="D158" s="57" t="s">
        <v>174</v>
      </c>
      <c r="E158" s="24" t="s">
        <v>16</v>
      </c>
      <c r="F158" s="18">
        <v>10.63</v>
      </c>
      <c r="G158" s="18">
        <v>59</v>
      </c>
      <c r="H158" s="63">
        <v>0.5</v>
      </c>
      <c r="I158" s="42"/>
      <c r="J158" s="63">
        <f t="shared" si="8"/>
        <v>70.13</v>
      </c>
      <c r="K158" s="74">
        <v>45495</v>
      </c>
      <c r="L158" s="20">
        <v>99</v>
      </c>
      <c r="M158" s="49"/>
    </row>
    <row r="159" spans="1:13" ht="17.25" customHeight="1" x14ac:dyDescent="0.25">
      <c r="A159" s="35"/>
      <c r="B159" s="42"/>
      <c r="C159" s="15">
        <v>148</v>
      </c>
      <c r="D159" s="57" t="s">
        <v>175</v>
      </c>
      <c r="E159" s="24" t="s">
        <v>16</v>
      </c>
      <c r="F159" s="18">
        <v>10.65</v>
      </c>
      <c r="G159" s="18">
        <v>131.97999999999999</v>
      </c>
      <c r="H159" s="63">
        <v>0.49</v>
      </c>
      <c r="I159" s="42"/>
      <c r="J159" s="63">
        <f t="shared" si="8"/>
        <v>143.12</v>
      </c>
      <c r="K159" s="74">
        <v>99931</v>
      </c>
      <c r="L159" s="20">
        <v>210</v>
      </c>
      <c r="M159" s="49"/>
    </row>
    <row r="160" spans="1:13" ht="17.25" customHeight="1" x14ac:dyDescent="0.25">
      <c r="A160" s="35"/>
      <c r="B160" s="42"/>
      <c r="C160" s="15">
        <v>149</v>
      </c>
      <c r="D160" s="57" t="s">
        <v>176</v>
      </c>
      <c r="E160" s="24" t="s">
        <v>16</v>
      </c>
      <c r="F160" s="18">
        <v>5.19</v>
      </c>
      <c r="G160" s="18">
        <v>56.78</v>
      </c>
      <c r="H160" s="63">
        <v>1.99</v>
      </c>
      <c r="I160" s="42"/>
      <c r="J160" s="63">
        <f t="shared" si="8"/>
        <v>63.96</v>
      </c>
      <c r="K160" s="74">
        <v>43258</v>
      </c>
      <c r="L160" s="20">
        <v>114</v>
      </c>
      <c r="M160" s="49"/>
    </row>
    <row r="161" spans="1:14" ht="17.25" customHeight="1" x14ac:dyDescent="0.25">
      <c r="A161" s="35"/>
      <c r="B161" s="42"/>
      <c r="C161" s="15">
        <v>150</v>
      </c>
      <c r="D161" s="57" t="s">
        <v>177</v>
      </c>
      <c r="E161" s="24" t="s">
        <v>16</v>
      </c>
      <c r="F161" s="18">
        <v>8.1999999999999993</v>
      </c>
      <c r="G161" s="18">
        <v>75.47</v>
      </c>
      <c r="H161" s="63">
        <v>0.98</v>
      </c>
      <c r="I161" s="42"/>
      <c r="J161" s="63">
        <f t="shared" si="8"/>
        <v>84.65</v>
      </c>
      <c r="K161" s="74">
        <v>59719</v>
      </c>
      <c r="L161" s="20">
        <v>101</v>
      </c>
      <c r="M161" s="49"/>
    </row>
    <row r="162" spans="1:14" ht="17.25" customHeight="1" x14ac:dyDescent="0.25">
      <c r="A162" s="35"/>
      <c r="B162" s="42"/>
      <c r="C162" s="15">
        <v>151</v>
      </c>
      <c r="D162" s="57" t="s">
        <v>178</v>
      </c>
      <c r="E162" s="24" t="s">
        <v>16</v>
      </c>
      <c r="F162" s="18">
        <v>7.76</v>
      </c>
      <c r="G162" s="18">
        <v>113.12</v>
      </c>
      <c r="H162" s="63">
        <v>0.49</v>
      </c>
      <c r="I162" s="42"/>
      <c r="J162" s="63">
        <f t="shared" si="8"/>
        <v>121.37</v>
      </c>
      <c r="K162" s="74">
        <v>87647</v>
      </c>
      <c r="L162" s="20">
        <v>78</v>
      </c>
      <c r="M162" s="49"/>
    </row>
    <row r="163" spans="1:14" ht="17.25" customHeight="1" x14ac:dyDescent="0.25">
      <c r="A163" s="35"/>
      <c r="B163" s="42"/>
      <c r="C163" s="15">
        <v>152</v>
      </c>
      <c r="D163" s="57" t="s">
        <v>179</v>
      </c>
      <c r="E163" s="24" t="s">
        <v>16</v>
      </c>
      <c r="F163" s="18">
        <v>23.8</v>
      </c>
      <c r="G163" s="18">
        <v>152.41</v>
      </c>
      <c r="H163" s="63">
        <v>1.29</v>
      </c>
      <c r="I163" s="42"/>
      <c r="J163" s="63">
        <f t="shared" si="8"/>
        <v>177.5</v>
      </c>
      <c r="K163" s="74">
        <v>117231</v>
      </c>
      <c r="L163" s="20">
        <v>140</v>
      </c>
      <c r="M163" s="49"/>
    </row>
    <row r="164" spans="1:14" ht="17.25" customHeight="1" x14ac:dyDescent="0.25">
      <c r="A164" s="35"/>
      <c r="B164" s="42"/>
      <c r="C164" s="15">
        <v>153</v>
      </c>
      <c r="D164" s="57" t="s">
        <v>180</v>
      </c>
      <c r="E164" s="24" t="s">
        <v>16</v>
      </c>
      <c r="F164" s="18">
        <v>12.56</v>
      </c>
      <c r="G164" s="18">
        <v>138.87</v>
      </c>
      <c r="H164" s="63">
        <v>1.46</v>
      </c>
      <c r="I164" s="42"/>
      <c r="J164" s="63">
        <f t="shared" si="8"/>
        <v>152.89000000000001</v>
      </c>
      <c r="K164" s="74">
        <v>106964</v>
      </c>
      <c r="L164" s="20">
        <v>162</v>
      </c>
      <c r="M164" s="49"/>
    </row>
    <row r="165" spans="1:14" ht="17.25" customHeight="1" x14ac:dyDescent="0.25">
      <c r="A165" s="35"/>
      <c r="B165" s="42"/>
      <c r="C165" s="15">
        <v>154</v>
      </c>
      <c r="D165" s="57" t="s">
        <v>181</v>
      </c>
      <c r="E165" s="24" t="s">
        <v>16</v>
      </c>
      <c r="F165" s="18">
        <v>0</v>
      </c>
      <c r="G165" s="18">
        <v>68.05</v>
      </c>
      <c r="H165" s="63">
        <v>0</v>
      </c>
      <c r="I165" s="42"/>
      <c r="J165" s="63">
        <f t="shared" si="8"/>
        <v>68.05</v>
      </c>
      <c r="K165" s="74">
        <v>53848</v>
      </c>
      <c r="L165" s="20">
        <v>95</v>
      </c>
      <c r="M165" s="49"/>
    </row>
    <row r="166" spans="1:14" ht="17.25" customHeight="1" x14ac:dyDescent="0.25">
      <c r="A166" s="35"/>
      <c r="B166" s="42"/>
      <c r="C166" s="15">
        <v>155</v>
      </c>
      <c r="D166" s="57" t="s">
        <v>182</v>
      </c>
      <c r="E166" s="24" t="s">
        <v>16</v>
      </c>
      <c r="F166" s="18">
        <v>0</v>
      </c>
      <c r="G166" s="18">
        <v>61.58</v>
      </c>
      <c r="H166" s="63">
        <v>0</v>
      </c>
      <c r="I166" s="42"/>
      <c r="J166" s="63">
        <f t="shared" si="8"/>
        <v>61.58</v>
      </c>
      <c r="K166" s="74">
        <v>48083</v>
      </c>
      <c r="L166" s="20">
        <v>139</v>
      </c>
      <c r="M166" s="49"/>
    </row>
    <row r="167" spans="1:14" ht="17.25" customHeight="1" x14ac:dyDescent="0.25">
      <c r="A167" s="96" t="s">
        <v>46</v>
      </c>
      <c r="B167" s="96"/>
      <c r="C167" s="96"/>
      <c r="D167" s="96"/>
      <c r="E167" s="28"/>
      <c r="F167" s="29">
        <f>SUM(F155:F166)</f>
        <v>99.87</v>
      </c>
      <c r="G167" s="29">
        <f>SUM(G155:G166)</f>
        <v>1121.6299999999999</v>
      </c>
      <c r="H167" s="29">
        <f>SUM(H155:H166)</f>
        <v>14.900000000000002</v>
      </c>
      <c r="I167" s="29"/>
      <c r="J167" s="30">
        <f>SUM(J155:J166)</f>
        <v>1236.3999999999999</v>
      </c>
      <c r="K167" s="31">
        <f>SUM(K155:K166)</f>
        <v>870568</v>
      </c>
      <c r="L167" s="31">
        <f>SUM(L155:L166)</f>
        <v>1470</v>
      </c>
      <c r="M167" s="32"/>
      <c r="N167" s="33">
        <v>1110</v>
      </c>
    </row>
    <row r="168" spans="1:14" ht="17.25" customHeight="1" x14ac:dyDescent="0.25">
      <c r="A168" s="35" t="s">
        <v>183</v>
      </c>
      <c r="B168" s="36" t="s">
        <v>184</v>
      </c>
      <c r="C168" s="15">
        <v>156</v>
      </c>
      <c r="D168" s="16" t="s">
        <v>185</v>
      </c>
      <c r="E168" s="24" t="s">
        <v>16</v>
      </c>
      <c r="F168" s="18">
        <v>1.02</v>
      </c>
      <c r="G168" s="18">
        <v>17.71</v>
      </c>
      <c r="H168" s="18">
        <v>3.48</v>
      </c>
      <c r="I168" s="18"/>
      <c r="J168" s="63">
        <f t="shared" ref="J168:J202" si="9">SUM(F168:H168)</f>
        <v>22.21</v>
      </c>
      <c r="K168" s="74">
        <v>15239</v>
      </c>
      <c r="L168" s="64">
        <v>15</v>
      </c>
      <c r="M168" s="49"/>
      <c r="N168" s="76">
        <f>J167</f>
        <v>1236.3999999999999</v>
      </c>
    </row>
    <row r="169" spans="1:14" ht="17.25" customHeight="1" x14ac:dyDescent="0.25">
      <c r="A169" s="35"/>
      <c r="B169" s="42"/>
      <c r="C169" s="15">
        <v>157</v>
      </c>
      <c r="D169" s="16" t="s">
        <v>186</v>
      </c>
      <c r="E169" s="24" t="s">
        <v>16</v>
      </c>
      <c r="F169" s="18">
        <v>0</v>
      </c>
      <c r="G169" s="18">
        <v>7.32</v>
      </c>
      <c r="H169" s="18">
        <v>2.66</v>
      </c>
      <c r="I169" s="18"/>
      <c r="J169" s="63">
        <f t="shared" si="9"/>
        <v>9.98</v>
      </c>
      <c r="K169" s="74">
        <v>6534</v>
      </c>
      <c r="L169" s="64">
        <v>14</v>
      </c>
      <c r="M169" s="49"/>
      <c r="N169" s="4">
        <f>N168+N167</f>
        <v>2346.3999999999996</v>
      </c>
    </row>
    <row r="170" spans="1:14" ht="17.25" customHeight="1" x14ac:dyDescent="0.25">
      <c r="A170" s="35"/>
      <c r="B170" s="42"/>
      <c r="C170" s="15">
        <v>158</v>
      </c>
      <c r="D170" s="16" t="s">
        <v>187</v>
      </c>
      <c r="E170" s="24" t="s">
        <v>16</v>
      </c>
      <c r="F170" s="18">
        <v>0</v>
      </c>
      <c r="G170" s="18">
        <v>3.89</v>
      </c>
      <c r="H170" s="18">
        <v>0.96</v>
      </c>
      <c r="I170" s="18"/>
      <c r="J170" s="63">
        <f t="shared" si="9"/>
        <v>4.8499999999999996</v>
      </c>
      <c r="K170" s="74">
        <v>3353</v>
      </c>
      <c r="L170" s="64">
        <v>5</v>
      </c>
      <c r="M170" s="49"/>
    </row>
    <row r="171" spans="1:14" ht="17.25" customHeight="1" x14ac:dyDescent="0.25">
      <c r="A171" s="35"/>
      <c r="B171" s="42"/>
      <c r="C171" s="15">
        <v>159</v>
      </c>
      <c r="D171" s="16" t="s">
        <v>188</v>
      </c>
      <c r="E171" s="24" t="s">
        <v>16</v>
      </c>
      <c r="F171" s="18">
        <v>0</v>
      </c>
      <c r="G171" s="18">
        <v>2.94</v>
      </c>
      <c r="H171" s="18">
        <v>3.94</v>
      </c>
      <c r="I171" s="18"/>
      <c r="J171" s="63">
        <f t="shared" si="9"/>
        <v>6.88</v>
      </c>
      <c r="K171" s="74">
        <v>2626</v>
      </c>
      <c r="L171" s="64">
        <v>11</v>
      </c>
      <c r="M171" s="49"/>
    </row>
    <row r="172" spans="1:14" ht="17.25" customHeight="1" x14ac:dyDescent="0.25">
      <c r="A172" s="35"/>
      <c r="B172" s="42"/>
      <c r="C172" s="15">
        <v>160</v>
      </c>
      <c r="D172" s="16" t="s">
        <v>189</v>
      </c>
      <c r="E172" s="24" t="s">
        <v>16</v>
      </c>
      <c r="F172" s="18">
        <v>0</v>
      </c>
      <c r="G172" s="18">
        <v>27.48</v>
      </c>
      <c r="H172" s="18">
        <v>5.75</v>
      </c>
      <c r="I172" s="18"/>
      <c r="J172" s="63">
        <f t="shared" si="9"/>
        <v>33.230000000000004</v>
      </c>
      <c r="K172" s="74">
        <v>24447</v>
      </c>
      <c r="L172" s="64">
        <v>11</v>
      </c>
      <c r="M172" s="49"/>
    </row>
    <row r="173" spans="1:14" ht="17.25" customHeight="1" x14ac:dyDescent="0.25">
      <c r="A173" s="35"/>
      <c r="B173" s="42"/>
      <c r="C173" s="15">
        <v>161</v>
      </c>
      <c r="D173" s="16" t="s">
        <v>190</v>
      </c>
      <c r="E173" s="24" t="s">
        <v>16</v>
      </c>
      <c r="F173" s="18">
        <v>2.5499999999999998</v>
      </c>
      <c r="G173" s="18">
        <v>17.88</v>
      </c>
      <c r="H173" s="18">
        <v>3.96</v>
      </c>
      <c r="I173" s="18"/>
      <c r="J173" s="63">
        <f t="shared" si="9"/>
        <v>24.39</v>
      </c>
      <c r="K173" s="74">
        <v>15389</v>
      </c>
      <c r="L173" s="64">
        <v>43</v>
      </c>
      <c r="M173" s="49"/>
    </row>
    <row r="174" spans="1:14" ht="17.25" customHeight="1" x14ac:dyDescent="0.25">
      <c r="A174" s="35"/>
      <c r="B174" s="42"/>
      <c r="C174" s="15">
        <v>162</v>
      </c>
      <c r="D174" s="16" t="s">
        <v>191</v>
      </c>
      <c r="E174" s="24" t="s">
        <v>16</v>
      </c>
      <c r="F174" s="18">
        <v>1.03</v>
      </c>
      <c r="G174" s="18">
        <v>9.83</v>
      </c>
      <c r="H174" s="18">
        <v>0</v>
      </c>
      <c r="I174" s="18"/>
      <c r="J174" s="63">
        <f t="shared" si="9"/>
        <v>10.86</v>
      </c>
      <c r="K174" s="74">
        <v>8480</v>
      </c>
      <c r="L174" s="64">
        <v>38</v>
      </c>
      <c r="M174" s="49"/>
    </row>
    <row r="175" spans="1:14" ht="17.25" customHeight="1" x14ac:dyDescent="0.25">
      <c r="A175" s="35"/>
      <c r="B175" s="42"/>
      <c r="C175" s="15">
        <v>163</v>
      </c>
      <c r="D175" s="16" t="s">
        <v>192</v>
      </c>
      <c r="E175" s="24" t="s">
        <v>16</v>
      </c>
      <c r="F175" s="18">
        <v>6.24</v>
      </c>
      <c r="G175" s="18">
        <v>20.190000000000001</v>
      </c>
      <c r="H175" s="18">
        <v>22.04</v>
      </c>
      <c r="I175" s="18"/>
      <c r="J175" s="63">
        <f t="shared" si="9"/>
        <v>48.47</v>
      </c>
      <c r="K175" s="74">
        <v>17874</v>
      </c>
      <c r="L175" s="64">
        <v>71</v>
      </c>
      <c r="M175" s="49"/>
    </row>
    <row r="176" spans="1:14" ht="17.25" customHeight="1" x14ac:dyDescent="0.25">
      <c r="A176" s="35"/>
      <c r="B176" s="42"/>
      <c r="C176" s="15">
        <v>164</v>
      </c>
      <c r="D176" s="16" t="s">
        <v>193</v>
      </c>
      <c r="E176" s="24" t="s">
        <v>16</v>
      </c>
      <c r="F176" s="18">
        <v>4.08</v>
      </c>
      <c r="G176" s="18">
        <v>65.680000000000007</v>
      </c>
      <c r="H176" s="18">
        <v>10.71</v>
      </c>
      <c r="I176" s="18"/>
      <c r="J176" s="63">
        <f t="shared" si="9"/>
        <v>80.47</v>
      </c>
      <c r="K176" s="74">
        <v>57878</v>
      </c>
      <c r="L176" s="64">
        <v>185</v>
      </c>
      <c r="M176" s="49"/>
    </row>
    <row r="177" spans="1:13" ht="17.25" customHeight="1" x14ac:dyDescent="0.25">
      <c r="A177" s="35"/>
      <c r="B177" s="42"/>
      <c r="C177" s="15">
        <v>165</v>
      </c>
      <c r="D177" s="16" t="s">
        <v>194</v>
      </c>
      <c r="E177" s="24" t="s">
        <v>16</v>
      </c>
      <c r="F177" s="18">
        <v>20.94</v>
      </c>
      <c r="G177" s="18">
        <v>208.58</v>
      </c>
      <c r="H177" s="18">
        <v>5.77</v>
      </c>
      <c r="I177" s="18"/>
      <c r="J177" s="63">
        <f t="shared" si="9"/>
        <v>235.29000000000002</v>
      </c>
      <c r="K177" s="74">
        <v>184674</v>
      </c>
      <c r="L177" s="64">
        <v>97</v>
      </c>
      <c r="M177" s="49"/>
    </row>
    <row r="178" spans="1:13" ht="17.25" customHeight="1" x14ac:dyDescent="0.25">
      <c r="A178" s="35"/>
      <c r="B178" s="42"/>
      <c r="C178" s="15">
        <v>166</v>
      </c>
      <c r="D178" s="16" t="s">
        <v>195</v>
      </c>
      <c r="E178" s="24" t="s">
        <v>16</v>
      </c>
      <c r="F178" s="18">
        <v>0</v>
      </c>
      <c r="G178" s="18">
        <v>44.31</v>
      </c>
      <c r="H178" s="18">
        <v>44.18</v>
      </c>
      <c r="I178" s="18"/>
      <c r="J178" s="63">
        <f t="shared" si="9"/>
        <v>88.490000000000009</v>
      </c>
      <c r="K178" s="74">
        <v>37811</v>
      </c>
      <c r="L178" s="64">
        <v>118</v>
      </c>
      <c r="M178" s="49"/>
    </row>
    <row r="179" spans="1:13" ht="17.25" customHeight="1" x14ac:dyDescent="0.25">
      <c r="A179" s="35"/>
      <c r="B179" s="42"/>
      <c r="C179" s="15">
        <v>167</v>
      </c>
      <c r="D179" s="16" t="s">
        <v>196</v>
      </c>
      <c r="E179" s="24" t="s">
        <v>16</v>
      </c>
      <c r="F179" s="18">
        <v>0</v>
      </c>
      <c r="G179" s="18">
        <v>159.63999999999999</v>
      </c>
      <c r="H179" s="18">
        <v>0</v>
      </c>
      <c r="I179" s="18"/>
      <c r="J179" s="63">
        <f t="shared" si="9"/>
        <v>159.63999999999999</v>
      </c>
      <c r="K179" s="74">
        <v>142727</v>
      </c>
      <c r="L179" s="64">
        <v>99</v>
      </c>
      <c r="M179" s="49"/>
    </row>
    <row r="180" spans="1:13" ht="17.25" customHeight="1" x14ac:dyDescent="0.25">
      <c r="A180" s="35"/>
      <c r="B180" s="42"/>
      <c r="C180" s="15">
        <v>168</v>
      </c>
      <c r="D180" s="16" t="s">
        <v>197</v>
      </c>
      <c r="E180" s="24" t="s">
        <v>16</v>
      </c>
      <c r="F180" s="18">
        <v>5.0199999999999996</v>
      </c>
      <c r="G180" s="18">
        <v>117.82</v>
      </c>
      <c r="H180" s="18">
        <v>10.6</v>
      </c>
      <c r="I180" s="18"/>
      <c r="J180" s="63">
        <f t="shared" si="9"/>
        <v>133.44</v>
      </c>
      <c r="K180" s="74">
        <v>104857</v>
      </c>
      <c r="L180" s="64">
        <v>238</v>
      </c>
      <c r="M180" s="49"/>
    </row>
    <row r="181" spans="1:13" ht="17.25" customHeight="1" x14ac:dyDescent="0.25">
      <c r="A181" s="35"/>
      <c r="B181" s="42"/>
      <c r="C181" s="15">
        <v>169</v>
      </c>
      <c r="D181" s="16" t="s">
        <v>198</v>
      </c>
      <c r="E181" s="24" t="s">
        <v>16</v>
      </c>
      <c r="F181" s="18">
        <v>3.01</v>
      </c>
      <c r="G181" s="18">
        <v>10.64</v>
      </c>
      <c r="H181" s="18">
        <v>3.96</v>
      </c>
      <c r="I181" s="18"/>
      <c r="J181" s="63">
        <f t="shared" si="9"/>
        <v>17.61</v>
      </c>
      <c r="K181" s="74">
        <v>9352</v>
      </c>
      <c r="L181" s="64">
        <v>45</v>
      </c>
      <c r="M181" s="49"/>
    </row>
    <row r="182" spans="1:13" ht="17.25" customHeight="1" x14ac:dyDescent="0.25">
      <c r="A182" s="35"/>
      <c r="B182" s="42"/>
      <c r="C182" s="15">
        <v>170</v>
      </c>
      <c r="D182" s="16" t="s">
        <v>199</v>
      </c>
      <c r="E182" s="24" t="s">
        <v>16</v>
      </c>
      <c r="F182" s="18">
        <v>2.0699999999999998</v>
      </c>
      <c r="G182" s="18">
        <v>140.91</v>
      </c>
      <c r="H182" s="18">
        <v>4.9400000000000004</v>
      </c>
      <c r="I182" s="18"/>
      <c r="J182" s="63">
        <f t="shared" si="9"/>
        <v>147.91999999999999</v>
      </c>
      <c r="K182" s="74">
        <v>120101</v>
      </c>
      <c r="L182" s="64">
        <v>96</v>
      </c>
      <c r="M182" s="49"/>
    </row>
    <row r="183" spans="1:13" ht="17.25" customHeight="1" x14ac:dyDescent="0.25">
      <c r="A183" s="35"/>
      <c r="B183" s="42"/>
      <c r="C183" s="15">
        <v>171</v>
      </c>
      <c r="D183" s="16" t="s">
        <v>200</v>
      </c>
      <c r="E183" s="24" t="s">
        <v>16</v>
      </c>
      <c r="F183" s="18">
        <v>3</v>
      </c>
      <c r="G183" s="18">
        <v>31.75</v>
      </c>
      <c r="H183" s="18">
        <v>5.9</v>
      </c>
      <c r="I183" s="18"/>
      <c r="J183" s="63">
        <f t="shared" si="9"/>
        <v>40.65</v>
      </c>
      <c r="K183" s="74">
        <v>28260</v>
      </c>
      <c r="L183" s="64">
        <v>38</v>
      </c>
      <c r="M183" s="49"/>
    </row>
    <row r="184" spans="1:13" ht="17.25" customHeight="1" x14ac:dyDescent="0.25">
      <c r="A184" s="35"/>
      <c r="B184" s="42"/>
      <c r="C184" s="15">
        <v>172</v>
      </c>
      <c r="D184" s="16" t="s">
        <v>201</v>
      </c>
      <c r="E184" s="24" t="s">
        <v>16</v>
      </c>
      <c r="F184" s="18">
        <v>2.02</v>
      </c>
      <c r="G184" s="18">
        <v>45.92</v>
      </c>
      <c r="H184" s="18">
        <v>3.96</v>
      </c>
      <c r="I184" s="18"/>
      <c r="J184" s="63">
        <f t="shared" si="9"/>
        <v>51.900000000000006</v>
      </c>
      <c r="K184" s="74">
        <v>39464</v>
      </c>
      <c r="L184" s="64">
        <v>58</v>
      </c>
      <c r="M184" s="49"/>
    </row>
    <row r="185" spans="1:13" ht="17.25" customHeight="1" x14ac:dyDescent="0.25">
      <c r="A185" s="35"/>
      <c r="B185" s="42"/>
      <c r="C185" s="15">
        <v>173</v>
      </c>
      <c r="D185" s="16" t="s">
        <v>202</v>
      </c>
      <c r="E185" s="24" t="s">
        <v>16</v>
      </c>
      <c r="F185" s="18">
        <v>2.08</v>
      </c>
      <c r="G185" s="18">
        <v>26.02</v>
      </c>
      <c r="H185" s="18">
        <v>3.98</v>
      </c>
      <c r="I185" s="18"/>
      <c r="J185" s="63">
        <f t="shared" si="9"/>
        <v>32.08</v>
      </c>
      <c r="K185" s="74">
        <v>22350</v>
      </c>
      <c r="L185" s="64">
        <v>45</v>
      </c>
      <c r="M185" s="49"/>
    </row>
    <row r="186" spans="1:13" ht="17.25" customHeight="1" x14ac:dyDescent="0.25">
      <c r="A186" s="35"/>
      <c r="B186" s="42"/>
      <c r="C186" s="15">
        <v>174</v>
      </c>
      <c r="D186" s="16" t="s">
        <v>203</v>
      </c>
      <c r="E186" s="24" t="s">
        <v>16</v>
      </c>
      <c r="F186" s="18">
        <v>3.08</v>
      </c>
      <c r="G186" s="18">
        <v>93.26</v>
      </c>
      <c r="H186" s="18">
        <v>5.82</v>
      </c>
      <c r="I186" s="18"/>
      <c r="J186" s="63">
        <f t="shared" si="9"/>
        <v>102.16</v>
      </c>
      <c r="K186" s="74">
        <v>81739</v>
      </c>
      <c r="L186" s="64">
        <v>140</v>
      </c>
      <c r="M186" s="49"/>
    </row>
    <row r="187" spans="1:13" ht="17.25" customHeight="1" x14ac:dyDescent="0.25">
      <c r="A187" s="35"/>
      <c r="B187" s="42"/>
      <c r="C187" s="15">
        <v>175</v>
      </c>
      <c r="D187" s="16" t="s">
        <v>204</v>
      </c>
      <c r="E187" s="24" t="s">
        <v>16</v>
      </c>
      <c r="F187" s="18">
        <v>10.92</v>
      </c>
      <c r="G187" s="18">
        <v>195.69</v>
      </c>
      <c r="H187" s="18">
        <v>20.74</v>
      </c>
      <c r="I187" s="18"/>
      <c r="J187" s="63">
        <f t="shared" si="9"/>
        <v>227.35</v>
      </c>
      <c r="K187" s="74">
        <v>171628</v>
      </c>
      <c r="L187" s="64">
        <v>258</v>
      </c>
      <c r="M187" s="49"/>
    </row>
    <row r="188" spans="1:13" ht="17.25" customHeight="1" x14ac:dyDescent="0.25">
      <c r="A188" s="35"/>
      <c r="B188" s="42"/>
      <c r="C188" s="15">
        <v>176</v>
      </c>
      <c r="D188" s="16" t="s">
        <v>205</v>
      </c>
      <c r="E188" s="24" t="s">
        <v>16</v>
      </c>
      <c r="F188" s="18">
        <v>2.5099999999999998</v>
      </c>
      <c r="G188" s="18">
        <v>113.12</v>
      </c>
      <c r="H188" s="18">
        <v>55.18</v>
      </c>
      <c r="I188" s="18"/>
      <c r="J188" s="63">
        <f t="shared" si="9"/>
        <v>170.81</v>
      </c>
      <c r="K188" s="74">
        <v>96782</v>
      </c>
      <c r="L188" s="64">
        <v>202</v>
      </c>
      <c r="M188" s="49"/>
    </row>
    <row r="189" spans="1:13" ht="17.25" customHeight="1" x14ac:dyDescent="0.25">
      <c r="A189" s="35"/>
      <c r="B189" s="42"/>
      <c r="C189" s="15">
        <v>177</v>
      </c>
      <c r="D189" s="16" t="s">
        <v>206</v>
      </c>
      <c r="E189" s="24" t="s">
        <v>16</v>
      </c>
      <c r="F189" s="18">
        <v>21.77</v>
      </c>
      <c r="G189" s="18">
        <v>41.94</v>
      </c>
      <c r="H189" s="18"/>
      <c r="I189" s="18"/>
      <c r="J189" s="63">
        <f t="shared" si="9"/>
        <v>63.709999999999994</v>
      </c>
      <c r="K189" s="74">
        <v>36623</v>
      </c>
      <c r="L189" s="64">
        <v>86</v>
      </c>
      <c r="M189" s="49"/>
    </row>
    <row r="190" spans="1:13" ht="17.25" customHeight="1" x14ac:dyDescent="0.25">
      <c r="A190" s="35"/>
      <c r="B190" s="42"/>
      <c r="C190" s="15">
        <v>178</v>
      </c>
      <c r="D190" s="16" t="s">
        <v>207</v>
      </c>
      <c r="E190" s="24" t="s">
        <v>16</v>
      </c>
      <c r="F190" s="18">
        <v>3.05</v>
      </c>
      <c r="G190" s="18">
        <v>54.57</v>
      </c>
      <c r="H190" s="18">
        <v>3.01</v>
      </c>
      <c r="I190" s="18"/>
      <c r="J190" s="63">
        <f t="shared" si="9"/>
        <v>60.629999999999995</v>
      </c>
      <c r="K190" s="74">
        <v>47751</v>
      </c>
      <c r="L190" s="64">
        <v>84</v>
      </c>
      <c r="M190" s="49"/>
    </row>
    <row r="191" spans="1:13" ht="17.25" customHeight="1" x14ac:dyDescent="0.25">
      <c r="A191" s="35"/>
      <c r="B191" s="42"/>
      <c r="C191" s="15">
        <v>179</v>
      </c>
      <c r="D191" s="16" t="s">
        <v>208</v>
      </c>
      <c r="E191" s="24" t="s">
        <v>16</v>
      </c>
      <c r="F191" s="18">
        <v>6.03</v>
      </c>
      <c r="G191" s="18">
        <v>180.13</v>
      </c>
      <c r="H191" s="18">
        <v>11.98</v>
      </c>
      <c r="I191" s="18"/>
      <c r="J191" s="63">
        <f t="shared" si="9"/>
        <v>198.14</v>
      </c>
      <c r="K191" s="74">
        <v>155318</v>
      </c>
      <c r="L191" s="64">
        <v>145</v>
      </c>
      <c r="M191" s="49"/>
    </row>
    <row r="192" spans="1:13" ht="17.25" customHeight="1" x14ac:dyDescent="0.25">
      <c r="A192" s="35"/>
      <c r="B192" s="42"/>
      <c r="C192" s="15">
        <v>180</v>
      </c>
      <c r="D192" s="16" t="s">
        <v>209</v>
      </c>
      <c r="E192" s="24" t="s">
        <v>16</v>
      </c>
      <c r="F192" s="18">
        <v>0</v>
      </c>
      <c r="G192" s="18">
        <v>66.430000000000007</v>
      </c>
      <c r="H192" s="18">
        <v>0</v>
      </c>
      <c r="I192" s="18"/>
      <c r="J192" s="63">
        <f t="shared" si="9"/>
        <v>66.430000000000007</v>
      </c>
      <c r="K192" s="74">
        <v>57965</v>
      </c>
      <c r="L192" s="64">
        <v>134</v>
      </c>
      <c r="M192" s="49"/>
    </row>
    <row r="193" spans="1:14" ht="17.25" customHeight="1" x14ac:dyDescent="0.25">
      <c r="A193" s="35"/>
      <c r="B193" s="42"/>
      <c r="C193" s="15">
        <v>181</v>
      </c>
      <c r="D193" s="16" t="s">
        <v>210</v>
      </c>
      <c r="E193" s="24" t="s">
        <v>16</v>
      </c>
      <c r="F193" s="18">
        <v>11.46</v>
      </c>
      <c r="G193" s="18">
        <v>83.56</v>
      </c>
      <c r="H193" s="18">
        <v>6.73</v>
      </c>
      <c r="I193" s="18"/>
      <c r="J193" s="63">
        <f t="shared" si="9"/>
        <v>101.75000000000001</v>
      </c>
      <c r="K193" s="74">
        <v>71966</v>
      </c>
      <c r="L193" s="64">
        <v>71</v>
      </c>
      <c r="M193" s="49"/>
    </row>
    <row r="194" spans="1:14" ht="17.25" customHeight="1" x14ac:dyDescent="0.25">
      <c r="A194" s="35"/>
      <c r="B194" s="42"/>
      <c r="C194" s="15">
        <v>182</v>
      </c>
      <c r="D194" s="16" t="s">
        <v>211</v>
      </c>
      <c r="E194" s="24" t="s">
        <v>16</v>
      </c>
      <c r="F194" s="18">
        <v>6.16</v>
      </c>
      <c r="G194" s="18">
        <v>11.76</v>
      </c>
      <c r="H194" s="18">
        <v>11.62</v>
      </c>
      <c r="I194" s="18"/>
      <c r="J194" s="63">
        <f t="shared" si="9"/>
        <v>29.54</v>
      </c>
      <c r="K194" s="74">
        <v>10467</v>
      </c>
      <c r="L194" s="64">
        <v>79</v>
      </c>
      <c r="M194" s="49"/>
    </row>
    <row r="195" spans="1:14" ht="17.25" customHeight="1" x14ac:dyDescent="0.25">
      <c r="A195" s="35"/>
      <c r="B195" s="42"/>
      <c r="C195" s="15">
        <v>183</v>
      </c>
      <c r="D195" s="16" t="s">
        <v>212</v>
      </c>
      <c r="E195" s="24" t="s">
        <v>16</v>
      </c>
      <c r="F195" s="18">
        <v>5.21</v>
      </c>
      <c r="G195" s="18">
        <v>137.5</v>
      </c>
      <c r="H195" s="18">
        <v>11.98</v>
      </c>
      <c r="I195" s="18"/>
      <c r="J195" s="63">
        <f t="shared" si="9"/>
        <v>154.69</v>
      </c>
      <c r="K195" s="74">
        <v>121312</v>
      </c>
      <c r="L195" s="64">
        <v>167</v>
      </c>
      <c r="M195" s="49"/>
    </row>
    <row r="196" spans="1:14" ht="17.25" customHeight="1" x14ac:dyDescent="0.25">
      <c r="A196" s="35"/>
      <c r="B196" s="42"/>
      <c r="C196" s="15">
        <v>184</v>
      </c>
      <c r="D196" s="16" t="s">
        <v>213</v>
      </c>
      <c r="E196" s="24" t="s">
        <v>16</v>
      </c>
      <c r="F196" s="18">
        <v>2</v>
      </c>
      <c r="G196" s="18">
        <v>232.75</v>
      </c>
      <c r="H196" s="18">
        <v>11.96</v>
      </c>
      <c r="I196" s="18"/>
      <c r="J196" s="63">
        <f t="shared" si="9"/>
        <v>246.71</v>
      </c>
      <c r="K196" s="74">
        <v>207743</v>
      </c>
      <c r="L196" s="64">
        <v>204</v>
      </c>
      <c r="M196" s="49"/>
    </row>
    <row r="197" spans="1:14" ht="17.25" customHeight="1" x14ac:dyDescent="0.25">
      <c r="A197" s="35"/>
      <c r="B197" s="42"/>
      <c r="C197" s="15">
        <v>185</v>
      </c>
      <c r="D197" s="16" t="s">
        <v>214</v>
      </c>
      <c r="E197" s="24" t="s">
        <v>16</v>
      </c>
      <c r="F197" s="18">
        <v>26.53</v>
      </c>
      <c r="G197" s="18">
        <v>46.27</v>
      </c>
      <c r="H197" s="18">
        <v>51.46</v>
      </c>
      <c r="I197" s="18"/>
      <c r="J197" s="63">
        <f t="shared" si="9"/>
        <v>124.26000000000002</v>
      </c>
      <c r="K197" s="74">
        <v>40294</v>
      </c>
      <c r="L197" s="64">
        <v>94</v>
      </c>
      <c r="M197" s="49"/>
    </row>
    <row r="198" spans="1:14" ht="17.25" customHeight="1" x14ac:dyDescent="0.25">
      <c r="A198" s="35"/>
      <c r="B198" s="42"/>
      <c r="C198" s="15">
        <v>186</v>
      </c>
      <c r="D198" s="16" t="s">
        <v>215</v>
      </c>
      <c r="E198" s="24" t="s">
        <v>16</v>
      </c>
      <c r="F198" s="18">
        <v>16.02</v>
      </c>
      <c r="G198" s="18">
        <v>102.63</v>
      </c>
      <c r="H198" s="18">
        <v>16.34</v>
      </c>
      <c r="I198" s="18"/>
      <c r="J198" s="63">
        <f t="shared" si="9"/>
        <v>134.98999999999998</v>
      </c>
      <c r="K198" s="74">
        <v>87629</v>
      </c>
      <c r="L198" s="64">
        <v>219</v>
      </c>
      <c r="M198" s="49"/>
    </row>
    <row r="199" spans="1:14" ht="17.25" customHeight="1" x14ac:dyDescent="0.25">
      <c r="A199" s="35"/>
      <c r="B199" s="42"/>
      <c r="C199" s="15">
        <v>187</v>
      </c>
      <c r="D199" s="16" t="s">
        <v>216</v>
      </c>
      <c r="E199" s="24" t="s">
        <v>16</v>
      </c>
      <c r="F199" s="18">
        <v>3.12</v>
      </c>
      <c r="G199" s="18">
        <v>678.31</v>
      </c>
      <c r="H199" s="18">
        <v>204.91</v>
      </c>
      <c r="I199" s="18"/>
      <c r="J199" s="63">
        <f t="shared" si="9"/>
        <v>886.33999999999992</v>
      </c>
      <c r="K199" s="74">
        <v>593709</v>
      </c>
      <c r="L199" s="64">
        <v>127</v>
      </c>
      <c r="M199" s="49"/>
    </row>
    <row r="200" spans="1:14" ht="17.25" customHeight="1" x14ac:dyDescent="0.25">
      <c r="A200" s="35"/>
      <c r="B200" s="42"/>
      <c r="C200" s="15">
        <v>188</v>
      </c>
      <c r="D200" s="16" t="s">
        <v>217</v>
      </c>
      <c r="E200" s="24" t="s">
        <v>16</v>
      </c>
      <c r="F200" s="18">
        <v>11.65</v>
      </c>
      <c r="G200" s="18">
        <v>88.88</v>
      </c>
      <c r="H200" s="18">
        <v>10.58</v>
      </c>
      <c r="I200" s="18"/>
      <c r="J200" s="63">
        <f t="shared" si="9"/>
        <v>111.11</v>
      </c>
      <c r="K200" s="74">
        <v>77846</v>
      </c>
      <c r="L200" s="64">
        <v>169</v>
      </c>
      <c r="M200" s="49"/>
    </row>
    <row r="201" spans="1:14" ht="17.25" customHeight="1" x14ac:dyDescent="0.25">
      <c r="A201" s="35"/>
      <c r="B201" s="42"/>
      <c r="C201" s="15">
        <v>189</v>
      </c>
      <c r="D201" s="16" t="s">
        <v>218</v>
      </c>
      <c r="E201" s="24" t="s">
        <v>16</v>
      </c>
      <c r="F201" s="18">
        <v>7.16</v>
      </c>
      <c r="G201" s="18">
        <v>182.1</v>
      </c>
      <c r="H201" s="18">
        <v>4.8600000000000003</v>
      </c>
      <c r="I201" s="18"/>
      <c r="J201" s="63">
        <f t="shared" si="9"/>
        <v>194.12</v>
      </c>
      <c r="K201" s="74">
        <v>157017</v>
      </c>
      <c r="L201" s="64">
        <v>235</v>
      </c>
      <c r="M201" s="49"/>
    </row>
    <row r="202" spans="1:14" ht="17.25" customHeight="1" x14ac:dyDescent="0.25">
      <c r="A202" s="35"/>
      <c r="B202" s="42"/>
      <c r="C202" s="15">
        <v>190</v>
      </c>
      <c r="D202" s="16" t="s">
        <v>219</v>
      </c>
      <c r="E202" s="24" t="s">
        <v>16</v>
      </c>
      <c r="F202" s="18">
        <v>42.48</v>
      </c>
      <c r="G202" s="18">
        <v>247.03</v>
      </c>
      <c r="H202" s="18">
        <v>2.9</v>
      </c>
      <c r="I202" s="18"/>
      <c r="J202" s="63">
        <f t="shared" si="9"/>
        <v>292.40999999999997</v>
      </c>
      <c r="K202" s="74">
        <v>211830</v>
      </c>
      <c r="L202" s="64">
        <v>260</v>
      </c>
      <c r="M202" s="49"/>
    </row>
    <row r="203" spans="1:14" ht="17.25" customHeight="1" x14ac:dyDescent="0.25">
      <c r="A203" s="96" t="s">
        <v>46</v>
      </c>
      <c r="B203" s="96"/>
      <c r="C203" s="96"/>
      <c r="D203" s="96"/>
      <c r="E203" s="28"/>
      <c r="F203" s="29">
        <f>SUM(F168:F202)</f>
        <v>232.20999999999998</v>
      </c>
      <c r="G203" s="29">
        <f>SUM(G168:G202)</f>
        <v>3514.44</v>
      </c>
      <c r="H203" s="29">
        <f>SUM(H168:H202)</f>
        <v>566.8599999999999</v>
      </c>
      <c r="I203" s="29"/>
      <c r="J203" s="30">
        <f>SUM(J168:J202)</f>
        <v>4313.51</v>
      </c>
      <c r="K203" s="31">
        <f>SUM(K168:K202)</f>
        <v>3069035</v>
      </c>
      <c r="L203" s="31">
        <f>SUM(L168:L202)</f>
        <v>3901</v>
      </c>
      <c r="M203" s="32"/>
      <c r="N203" s="4">
        <v>1110</v>
      </c>
    </row>
    <row r="204" spans="1:14" s="82" customFormat="1" ht="17.25" customHeight="1" x14ac:dyDescent="0.25">
      <c r="A204" s="22" t="s">
        <v>220</v>
      </c>
      <c r="B204" s="77" t="s">
        <v>221</v>
      </c>
      <c r="C204" s="23">
        <v>191</v>
      </c>
      <c r="D204" s="16" t="s">
        <v>222</v>
      </c>
      <c r="E204" s="24" t="s">
        <v>16</v>
      </c>
      <c r="F204" s="78">
        <v>10.220000000000001</v>
      </c>
      <c r="G204" s="78">
        <v>25.86</v>
      </c>
      <c r="H204" s="78">
        <v>14.98</v>
      </c>
      <c r="I204" s="79"/>
      <c r="J204" s="63">
        <f t="shared" ref="J204:J213" si="10">SUM(F204:H204)</f>
        <v>51.06</v>
      </c>
      <c r="K204" s="74">
        <v>14461</v>
      </c>
      <c r="L204" s="74">
        <v>345</v>
      </c>
      <c r="M204" s="80"/>
      <c r="N204" s="81">
        <v>429374</v>
      </c>
    </row>
    <row r="205" spans="1:14" s="82" customFormat="1" ht="17.25" customHeight="1" x14ac:dyDescent="0.25">
      <c r="A205" s="22"/>
      <c r="B205" s="83"/>
      <c r="C205" s="23">
        <v>192</v>
      </c>
      <c r="D205" s="16" t="s">
        <v>223</v>
      </c>
      <c r="E205" s="24" t="s">
        <v>16</v>
      </c>
      <c r="F205" s="78">
        <v>82.26</v>
      </c>
      <c r="G205" s="78">
        <v>449.67</v>
      </c>
      <c r="H205" s="78">
        <v>20.260000000000002</v>
      </c>
      <c r="I205" s="79"/>
      <c r="J205" s="63">
        <f t="shared" si="10"/>
        <v>552.19000000000005</v>
      </c>
      <c r="K205" s="74">
        <v>267495</v>
      </c>
      <c r="L205" s="74">
        <v>147</v>
      </c>
      <c r="M205" s="80"/>
      <c r="N205" s="84">
        <f>N204+N203</f>
        <v>430484</v>
      </c>
    </row>
    <row r="206" spans="1:14" s="82" customFormat="1" ht="17.25" customHeight="1" x14ac:dyDescent="0.25">
      <c r="A206" s="22"/>
      <c r="B206" s="83"/>
      <c r="C206" s="23">
        <v>193</v>
      </c>
      <c r="D206" s="16" t="s">
        <v>221</v>
      </c>
      <c r="E206" s="24" t="s">
        <v>16</v>
      </c>
      <c r="F206" s="78">
        <v>124.98</v>
      </c>
      <c r="G206" s="78">
        <v>138.59</v>
      </c>
      <c r="H206" s="78">
        <v>78.56</v>
      </c>
      <c r="I206" s="79"/>
      <c r="J206" s="63">
        <f t="shared" si="10"/>
        <v>342.13</v>
      </c>
      <c r="K206" s="74">
        <v>94158</v>
      </c>
      <c r="L206" s="74">
        <v>188</v>
      </c>
      <c r="M206" s="80"/>
    </row>
    <row r="207" spans="1:14" s="82" customFormat="1" ht="17.25" customHeight="1" x14ac:dyDescent="0.25">
      <c r="A207" s="22"/>
      <c r="B207" s="83"/>
      <c r="C207" s="23">
        <v>194</v>
      </c>
      <c r="D207" s="16" t="s">
        <v>224</v>
      </c>
      <c r="E207" s="24" t="s">
        <v>16</v>
      </c>
      <c r="F207" s="78">
        <v>8.9600000000000009</v>
      </c>
      <c r="G207" s="78">
        <v>321.86</v>
      </c>
      <c r="H207" s="78">
        <v>22.96</v>
      </c>
      <c r="I207" s="79"/>
      <c r="J207" s="63">
        <f t="shared" si="10"/>
        <v>353.78</v>
      </c>
      <c r="K207" s="74">
        <v>243601</v>
      </c>
      <c r="L207" s="74">
        <v>100</v>
      </c>
      <c r="M207" s="80"/>
    </row>
    <row r="208" spans="1:14" s="82" customFormat="1" ht="17.25" customHeight="1" x14ac:dyDescent="0.25">
      <c r="A208" s="22"/>
      <c r="B208" s="83"/>
      <c r="C208" s="23">
        <v>195</v>
      </c>
      <c r="D208" s="16" t="s">
        <v>225</v>
      </c>
      <c r="E208" s="24" t="s">
        <v>16</v>
      </c>
      <c r="F208" s="78">
        <v>8.09</v>
      </c>
      <c r="G208" s="78">
        <v>24.99</v>
      </c>
      <c r="H208" s="78">
        <v>7.84</v>
      </c>
      <c r="I208" s="79"/>
      <c r="J208" s="63">
        <f t="shared" si="10"/>
        <v>40.92</v>
      </c>
      <c r="K208" s="74">
        <v>17671</v>
      </c>
      <c r="L208" s="74">
        <v>25</v>
      </c>
      <c r="M208" s="80"/>
    </row>
    <row r="209" spans="1:13" s="82" customFormat="1" ht="17.25" customHeight="1" x14ac:dyDescent="0.25">
      <c r="A209" s="22"/>
      <c r="B209" s="83"/>
      <c r="C209" s="23">
        <v>196</v>
      </c>
      <c r="D209" s="16" t="s">
        <v>226</v>
      </c>
      <c r="E209" s="24" t="s">
        <v>16</v>
      </c>
      <c r="F209" s="78">
        <v>6.07</v>
      </c>
      <c r="G209" s="78">
        <v>37.700000000000003</v>
      </c>
      <c r="H209" s="78">
        <v>7.72</v>
      </c>
      <c r="I209" s="79"/>
      <c r="J209" s="63">
        <f t="shared" si="10"/>
        <v>51.49</v>
      </c>
      <c r="K209" s="74">
        <v>17698</v>
      </c>
      <c r="L209" s="74">
        <v>37</v>
      </c>
      <c r="M209" s="80"/>
    </row>
    <row r="210" spans="1:13" s="82" customFormat="1" ht="17.25" customHeight="1" x14ac:dyDescent="0.25">
      <c r="A210" s="22"/>
      <c r="B210" s="83"/>
      <c r="C210" s="23">
        <v>197</v>
      </c>
      <c r="D210" s="16" t="s">
        <v>14</v>
      </c>
      <c r="E210" s="24" t="s">
        <v>16</v>
      </c>
      <c r="F210" s="78">
        <v>8</v>
      </c>
      <c r="G210" s="78">
        <v>40.549999999999997</v>
      </c>
      <c r="H210" s="78">
        <v>8.7200000000000006</v>
      </c>
      <c r="I210" s="79"/>
      <c r="J210" s="63">
        <f t="shared" si="10"/>
        <v>57.269999999999996</v>
      </c>
      <c r="K210" s="74">
        <v>36549</v>
      </c>
      <c r="L210" s="74">
        <v>99</v>
      </c>
      <c r="M210" s="80"/>
    </row>
    <row r="211" spans="1:13" s="82" customFormat="1" ht="17.25" customHeight="1" x14ac:dyDescent="0.25">
      <c r="A211" s="22"/>
      <c r="B211" s="83"/>
      <c r="C211" s="23">
        <v>198</v>
      </c>
      <c r="D211" s="16" t="s">
        <v>227</v>
      </c>
      <c r="E211" s="24" t="s">
        <v>16</v>
      </c>
      <c r="F211" s="78">
        <v>11.4</v>
      </c>
      <c r="G211" s="78">
        <v>101.04</v>
      </c>
      <c r="H211" s="78">
        <v>15.94</v>
      </c>
      <c r="I211" s="79"/>
      <c r="J211" s="63">
        <f t="shared" si="10"/>
        <v>128.38000000000002</v>
      </c>
      <c r="K211" s="74">
        <v>69515</v>
      </c>
      <c r="L211" s="74">
        <v>97</v>
      </c>
      <c r="M211" s="80"/>
    </row>
    <row r="212" spans="1:13" s="82" customFormat="1" ht="17.25" customHeight="1" x14ac:dyDescent="0.25">
      <c r="A212" s="22"/>
      <c r="B212" s="83"/>
      <c r="C212" s="23">
        <v>199</v>
      </c>
      <c r="D212" s="16" t="s">
        <v>228</v>
      </c>
      <c r="E212" s="24" t="s">
        <v>16</v>
      </c>
      <c r="F212" s="78">
        <v>23.93</v>
      </c>
      <c r="G212" s="78">
        <v>302.95999999999998</v>
      </c>
      <c r="H212" s="78">
        <v>23.11</v>
      </c>
      <c r="I212" s="79"/>
      <c r="J212" s="63">
        <f t="shared" si="10"/>
        <v>350</v>
      </c>
      <c r="K212" s="74">
        <v>133489</v>
      </c>
      <c r="L212" s="74">
        <v>398</v>
      </c>
      <c r="M212" s="80"/>
    </row>
    <row r="213" spans="1:13" s="82" customFormat="1" ht="17.25" customHeight="1" x14ac:dyDescent="0.25">
      <c r="A213" s="22"/>
      <c r="B213" s="83"/>
      <c r="C213" s="23">
        <v>200</v>
      </c>
      <c r="D213" s="16" t="s">
        <v>229</v>
      </c>
      <c r="E213" s="24" t="s">
        <v>16</v>
      </c>
      <c r="F213" s="78">
        <v>25.96</v>
      </c>
      <c r="G213" s="78">
        <v>786.03</v>
      </c>
      <c r="H213" s="78">
        <v>49.33</v>
      </c>
      <c r="I213" s="79"/>
      <c r="J213" s="63">
        <f t="shared" si="10"/>
        <v>861.32</v>
      </c>
      <c r="K213" s="74">
        <v>599940</v>
      </c>
      <c r="L213" s="74">
        <v>180</v>
      </c>
      <c r="M213" s="80"/>
    </row>
    <row r="214" spans="1:13" ht="17.25" customHeight="1" x14ac:dyDescent="0.25">
      <c r="A214" s="96" t="s">
        <v>46</v>
      </c>
      <c r="B214" s="96"/>
      <c r="C214" s="96"/>
      <c r="D214" s="96"/>
      <c r="E214" s="28"/>
      <c r="F214" s="29">
        <f>SUM(F204:F213)</f>
        <v>309.87</v>
      </c>
      <c r="G214" s="29">
        <f>SUM(G204:G213)</f>
        <v>2229.25</v>
      </c>
      <c r="H214" s="29">
        <f>SUM(H204:H213)</f>
        <v>249.42000000000002</v>
      </c>
      <c r="I214" s="29"/>
      <c r="J214" s="30">
        <f>SUM(J204:J213)</f>
        <v>2788.54</v>
      </c>
      <c r="K214" s="31">
        <f>SUM(K204:K213)</f>
        <v>1494577</v>
      </c>
      <c r="L214" s="31">
        <f>SUM(L204:L213)</f>
        <v>1616</v>
      </c>
      <c r="M214" s="32"/>
    </row>
    <row r="215" spans="1:13" ht="17.25" customHeight="1" x14ac:dyDescent="0.25">
      <c r="A215" s="35" t="s">
        <v>230</v>
      </c>
      <c r="B215" s="36" t="s">
        <v>231</v>
      </c>
      <c r="C215" s="15">
        <v>201</v>
      </c>
      <c r="D215" s="57" t="s">
        <v>232</v>
      </c>
      <c r="E215" s="24" t="s">
        <v>16</v>
      </c>
      <c r="F215" s="26">
        <v>10.94</v>
      </c>
      <c r="G215" s="26">
        <v>446.2</v>
      </c>
      <c r="H215" s="26">
        <v>50.62</v>
      </c>
      <c r="I215" s="72"/>
      <c r="J215" s="26">
        <f t="shared" ref="J215:J234" si="11">SUM(F215:H215)</f>
        <v>507.76</v>
      </c>
      <c r="K215" s="25">
        <v>266898</v>
      </c>
      <c r="L215" s="20">
        <v>171</v>
      </c>
      <c r="M215" s="49"/>
    </row>
    <row r="216" spans="1:13" ht="17.25" customHeight="1" x14ac:dyDescent="0.25">
      <c r="A216" s="35"/>
      <c r="B216" s="42"/>
      <c r="C216" s="15">
        <v>202</v>
      </c>
      <c r="D216" s="57" t="s">
        <v>233</v>
      </c>
      <c r="E216" s="24" t="s">
        <v>16</v>
      </c>
      <c r="F216" s="26">
        <v>51.99</v>
      </c>
      <c r="G216" s="26">
        <v>210.35</v>
      </c>
      <c r="H216" s="26">
        <v>14.57</v>
      </c>
      <c r="I216" s="72"/>
      <c r="J216" s="26">
        <f t="shared" si="11"/>
        <v>276.90999999999997</v>
      </c>
      <c r="K216" s="25">
        <v>130320</v>
      </c>
      <c r="L216" s="85">
        <v>112</v>
      </c>
      <c r="M216" s="86"/>
    </row>
    <row r="217" spans="1:13" ht="17.25" customHeight="1" x14ac:dyDescent="0.25">
      <c r="A217" s="35"/>
      <c r="B217" s="42"/>
      <c r="C217" s="15">
        <v>203</v>
      </c>
      <c r="D217" s="57" t="s">
        <v>234</v>
      </c>
      <c r="E217" s="24" t="s">
        <v>16</v>
      </c>
      <c r="F217" s="26">
        <v>10.130000000000001</v>
      </c>
      <c r="G217" s="26">
        <v>31.82</v>
      </c>
      <c r="H217" s="26">
        <v>12.01</v>
      </c>
      <c r="I217" s="72"/>
      <c r="J217" s="26">
        <f t="shared" si="11"/>
        <v>53.96</v>
      </c>
      <c r="K217" s="25">
        <v>20235</v>
      </c>
      <c r="L217" s="85">
        <v>33</v>
      </c>
      <c r="M217" s="86"/>
    </row>
    <row r="218" spans="1:13" ht="17.25" customHeight="1" x14ac:dyDescent="0.25">
      <c r="A218" s="35"/>
      <c r="B218" s="42"/>
      <c r="C218" s="15">
        <v>204</v>
      </c>
      <c r="D218" s="57" t="s">
        <v>235</v>
      </c>
      <c r="E218" s="24" t="s">
        <v>16</v>
      </c>
      <c r="F218" s="26">
        <v>0</v>
      </c>
      <c r="G218" s="26">
        <v>47.56</v>
      </c>
      <c r="H218" s="26">
        <v>22.05</v>
      </c>
      <c r="I218" s="72"/>
      <c r="J218" s="26">
        <f t="shared" si="11"/>
        <v>69.61</v>
      </c>
      <c r="K218" s="25">
        <v>29925</v>
      </c>
      <c r="L218" s="85">
        <v>176</v>
      </c>
      <c r="M218" s="86"/>
    </row>
    <row r="219" spans="1:13" ht="17.25" customHeight="1" x14ac:dyDescent="0.25">
      <c r="A219" s="35"/>
      <c r="B219" s="42"/>
      <c r="C219" s="15">
        <v>205</v>
      </c>
      <c r="D219" s="57" t="s">
        <v>236</v>
      </c>
      <c r="E219" s="24" t="s">
        <v>16</v>
      </c>
      <c r="F219" s="26">
        <v>10.71</v>
      </c>
      <c r="G219" s="26">
        <v>167.28</v>
      </c>
      <c r="H219" s="26">
        <v>52.79</v>
      </c>
      <c r="I219" s="72"/>
      <c r="J219" s="26">
        <f t="shared" si="11"/>
        <v>230.78</v>
      </c>
      <c r="K219" s="73">
        <v>118872</v>
      </c>
      <c r="L219" s="20">
        <v>88</v>
      </c>
      <c r="M219" s="86"/>
    </row>
    <row r="220" spans="1:13" ht="17.25" customHeight="1" x14ac:dyDescent="0.25">
      <c r="A220" s="35"/>
      <c r="B220" s="42"/>
      <c r="C220" s="15">
        <v>206</v>
      </c>
      <c r="D220" s="57" t="s">
        <v>237</v>
      </c>
      <c r="E220" s="24" t="s">
        <v>16</v>
      </c>
      <c r="F220" s="26">
        <v>51.86</v>
      </c>
      <c r="G220" s="26">
        <v>482.81</v>
      </c>
      <c r="H220" s="26">
        <v>57.69</v>
      </c>
      <c r="I220" s="72"/>
      <c r="J220" s="26">
        <f t="shared" si="11"/>
        <v>592.3599999999999</v>
      </c>
      <c r="K220" s="73">
        <v>399957</v>
      </c>
      <c r="L220" s="20">
        <v>66</v>
      </c>
      <c r="M220" s="86"/>
    </row>
    <row r="221" spans="1:13" ht="17.25" customHeight="1" x14ac:dyDescent="0.25">
      <c r="A221" s="35"/>
      <c r="B221" s="42"/>
      <c r="C221" s="15">
        <v>207</v>
      </c>
      <c r="D221" s="57" t="s">
        <v>238</v>
      </c>
      <c r="E221" s="24" t="s">
        <v>16</v>
      </c>
      <c r="F221" s="26">
        <v>0</v>
      </c>
      <c r="G221" s="26">
        <v>40.880000000000003</v>
      </c>
      <c r="H221" s="26">
        <v>22.32</v>
      </c>
      <c r="I221" s="72"/>
      <c r="J221" s="26">
        <f t="shared" si="11"/>
        <v>63.2</v>
      </c>
      <c r="K221" s="73">
        <v>25297</v>
      </c>
      <c r="L221" s="20">
        <v>41</v>
      </c>
      <c r="M221" s="86"/>
    </row>
    <row r="222" spans="1:13" ht="17.25" customHeight="1" x14ac:dyDescent="0.25">
      <c r="A222" s="35"/>
      <c r="B222" s="42"/>
      <c r="C222" s="15">
        <v>208</v>
      </c>
      <c r="D222" s="57" t="s">
        <v>239</v>
      </c>
      <c r="E222" s="24" t="s">
        <v>16</v>
      </c>
      <c r="F222" s="26">
        <v>0</v>
      </c>
      <c r="G222" s="26">
        <v>197.37</v>
      </c>
      <c r="H222" s="26">
        <v>29.16</v>
      </c>
      <c r="I222" s="72"/>
      <c r="J222" s="26">
        <f t="shared" si="11"/>
        <v>226.53</v>
      </c>
      <c r="K222" s="73">
        <v>127343</v>
      </c>
      <c r="L222" s="20">
        <v>127</v>
      </c>
      <c r="M222" s="86"/>
    </row>
    <row r="223" spans="1:13" ht="17.25" customHeight="1" x14ac:dyDescent="0.25">
      <c r="A223" s="35"/>
      <c r="B223" s="42"/>
      <c r="C223" s="15">
        <v>209</v>
      </c>
      <c r="D223" s="57" t="s">
        <v>240</v>
      </c>
      <c r="E223" s="24" t="s">
        <v>16</v>
      </c>
      <c r="F223" s="26">
        <v>17.440000000000001</v>
      </c>
      <c r="G223" s="26">
        <v>371.88</v>
      </c>
      <c r="H223" s="26">
        <v>81.99</v>
      </c>
      <c r="I223" s="72"/>
      <c r="J223" s="26">
        <f t="shared" si="11"/>
        <v>471.31</v>
      </c>
      <c r="K223" s="73">
        <v>256183</v>
      </c>
      <c r="L223" s="20">
        <v>169</v>
      </c>
      <c r="M223" s="86"/>
    </row>
    <row r="224" spans="1:13" ht="17.25" customHeight="1" x14ac:dyDescent="0.25">
      <c r="A224" s="35"/>
      <c r="B224" s="42"/>
      <c r="C224" s="15">
        <v>210</v>
      </c>
      <c r="D224" s="57" t="s">
        <v>241</v>
      </c>
      <c r="E224" s="24" t="s">
        <v>16</v>
      </c>
      <c r="F224" s="26">
        <v>10.31</v>
      </c>
      <c r="G224" s="26">
        <v>25.05</v>
      </c>
      <c r="H224" s="26">
        <v>21.75</v>
      </c>
      <c r="I224" s="72"/>
      <c r="J224" s="26">
        <f t="shared" si="11"/>
        <v>57.11</v>
      </c>
      <c r="K224" s="73">
        <v>15286</v>
      </c>
      <c r="L224" s="20">
        <v>29</v>
      </c>
      <c r="M224" s="86"/>
    </row>
    <row r="225" spans="1:14" ht="17.25" customHeight="1" x14ac:dyDescent="0.25">
      <c r="A225" s="35"/>
      <c r="B225" s="42"/>
      <c r="C225" s="15">
        <v>211</v>
      </c>
      <c r="D225" s="16" t="s">
        <v>242</v>
      </c>
      <c r="E225" s="24" t="s">
        <v>16</v>
      </c>
      <c r="F225" s="18">
        <v>0</v>
      </c>
      <c r="G225" s="18">
        <v>166.76</v>
      </c>
      <c r="H225" s="18">
        <v>19.350000000000001</v>
      </c>
      <c r="I225" s="38"/>
      <c r="J225" s="26">
        <f t="shared" si="11"/>
        <v>186.10999999999999</v>
      </c>
      <c r="K225" s="64">
        <v>135275</v>
      </c>
      <c r="L225" s="20">
        <v>80</v>
      </c>
      <c r="M225" s="86"/>
    </row>
    <row r="226" spans="1:14" ht="17.25" customHeight="1" x14ac:dyDescent="0.25">
      <c r="A226" s="35"/>
      <c r="B226" s="42"/>
      <c r="C226" s="15">
        <v>212</v>
      </c>
      <c r="D226" s="16" t="s">
        <v>243</v>
      </c>
      <c r="E226" s="24" t="s">
        <v>16</v>
      </c>
      <c r="F226" s="18">
        <v>43.67</v>
      </c>
      <c r="G226" s="18">
        <v>392.69</v>
      </c>
      <c r="H226" s="18">
        <v>96.76</v>
      </c>
      <c r="I226" s="38"/>
      <c r="J226" s="26">
        <f t="shared" si="11"/>
        <v>533.12</v>
      </c>
      <c r="K226" s="64">
        <v>292007</v>
      </c>
      <c r="L226" s="20">
        <v>284</v>
      </c>
      <c r="M226" s="86"/>
    </row>
    <row r="227" spans="1:14" ht="17.25" customHeight="1" x14ac:dyDescent="0.25">
      <c r="A227" s="35"/>
      <c r="B227" s="42"/>
      <c r="C227" s="15">
        <v>213</v>
      </c>
      <c r="D227" s="16" t="s">
        <v>244</v>
      </c>
      <c r="E227" s="24" t="s">
        <v>16</v>
      </c>
      <c r="F227" s="18">
        <v>55.5</v>
      </c>
      <c r="G227" s="18">
        <v>83.16</v>
      </c>
      <c r="H227" s="18">
        <v>23.93</v>
      </c>
      <c r="I227" s="38"/>
      <c r="J227" s="26">
        <f t="shared" si="11"/>
        <v>162.59</v>
      </c>
      <c r="K227" s="64">
        <v>51773</v>
      </c>
      <c r="L227" s="20">
        <v>112</v>
      </c>
      <c r="M227" s="86"/>
    </row>
    <row r="228" spans="1:14" ht="17.25" customHeight="1" x14ac:dyDescent="0.25">
      <c r="A228" s="35"/>
      <c r="B228" s="42"/>
      <c r="C228" s="15">
        <v>214</v>
      </c>
      <c r="D228" s="16" t="s">
        <v>245</v>
      </c>
      <c r="E228" s="24" t="s">
        <v>16</v>
      </c>
      <c r="F228" s="18">
        <v>22.77</v>
      </c>
      <c r="G228" s="18">
        <v>238.2</v>
      </c>
      <c r="H228" s="18">
        <v>55.74</v>
      </c>
      <c r="I228" s="38"/>
      <c r="J228" s="26">
        <f t="shared" si="11"/>
        <v>316.70999999999998</v>
      </c>
      <c r="K228" s="64">
        <v>182087</v>
      </c>
      <c r="L228" s="20">
        <v>98</v>
      </c>
      <c r="M228" s="86"/>
    </row>
    <row r="229" spans="1:14" ht="17.25" customHeight="1" x14ac:dyDescent="0.25">
      <c r="A229" s="35"/>
      <c r="B229" s="42"/>
      <c r="C229" s="15">
        <v>215</v>
      </c>
      <c r="D229" s="16" t="s">
        <v>246</v>
      </c>
      <c r="E229" s="24" t="s">
        <v>16</v>
      </c>
      <c r="F229" s="18">
        <v>154.32</v>
      </c>
      <c r="G229" s="18">
        <v>400.42</v>
      </c>
      <c r="H229" s="18">
        <v>47.94</v>
      </c>
      <c r="I229" s="38"/>
      <c r="J229" s="26">
        <f t="shared" si="11"/>
        <v>602.68000000000006</v>
      </c>
      <c r="K229" s="64">
        <v>427267</v>
      </c>
      <c r="L229" s="20">
        <v>135</v>
      </c>
      <c r="M229" s="86"/>
    </row>
    <row r="230" spans="1:14" ht="17.25" customHeight="1" x14ac:dyDescent="0.25">
      <c r="A230" s="35"/>
      <c r="B230" s="42"/>
      <c r="C230" s="15">
        <v>216</v>
      </c>
      <c r="D230" s="16" t="s">
        <v>247</v>
      </c>
      <c r="E230" s="24" t="s">
        <v>16</v>
      </c>
      <c r="F230" s="18">
        <v>53.83</v>
      </c>
      <c r="G230" s="18">
        <v>294.37</v>
      </c>
      <c r="H230" s="18">
        <v>24.23</v>
      </c>
      <c r="I230" s="38"/>
      <c r="J230" s="26">
        <f t="shared" si="11"/>
        <v>372.43</v>
      </c>
      <c r="K230" s="64">
        <v>332923</v>
      </c>
      <c r="L230" s="20">
        <v>111</v>
      </c>
      <c r="M230" s="86"/>
    </row>
    <row r="231" spans="1:14" ht="17.25" customHeight="1" x14ac:dyDescent="0.25">
      <c r="A231" s="35"/>
      <c r="B231" s="42"/>
      <c r="C231" s="15">
        <v>217</v>
      </c>
      <c r="D231" s="16" t="s">
        <v>248</v>
      </c>
      <c r="E231" s="24" t="s">
        <v>16</v>
      </c>
      <c r="F231" s="18">
        <v>9.3699999999999992</v>
      </c>
      <c r="G231" s="18">
        <v>285.3</v>
      </c>
      <c r="H231" s="18">
        <v>86.85</v>
      </c>
      <c r="I231" s="38"/>
      <c r="J231" s="26">
        <f t="shared" si="11"/>
        <v>381.52</v>
      </c>
      <c r="K231" s="64">
        <v>232306</v>
      </c>
      <c r="L231" s="20">
        <v>58</v>
      </c>
      <c r="M231" s="86"/>
    </row>
    <row r="232" spans="1:14" ht="17.25" customHeight="1" x14ac:dyDescent="0.25">
      <c r="A232" s="35"/>
      <c r="B232" s="42"/>
      <c r="C232" s="15">
        <v>218</v>
      </c>
      <c r="D232" s="16" t="s">
        <v>249</v>
      </c>
      <c r="E232" s="24" t="s">
        <v>16</v>
      </c>
      <c r="F232" s="18">
        <v>104.66</v>
      </c>
      <c r="G232" s="18">
        <v>240.61</v>
      </c>
      <c r="H232" s="18">
        <v>30</v>
      </c>
      <c r="I232" s="38"/>
      <c r="J232" s="26">
        <f t="shared" si="11"/>
        <v>375.27</v>
      </c>
      <c r="K232" s="64">
        <v>230875</v>
      </c>
      <c r="L232" s="20">
        <v>225</v>
      </c>
      <c r="M232" s="86"/>
    </row>
    <row r="233" spans="1:14" ht="17.25" customHeight="1" x14ac:dyDescent="0.25">
      <c r="A233" s="35"/>
      <c r="B233" s="42"/>
      <c r="C233" s="15">
        <v>219</v>
      </c>
      <c r="D233" s="16" t="s">
        <v>250</v>
      </c>
      <c r="E233" s="24" t="s">
        <v>16</v>
      </c>
      <c r="F233" s="18">
        <v>30.02</v>
      </c>
      <c r="G233" s="18">
        <v>65.81</v>
      </c>
      <c r="H233" s="18">
        <v>11.75</v>
      </c>
      <c r="I233" s="38"/>
      <c r="J233" s="26">
        <f t="shared" si="11"/>
        <v>107.58</v>
      </c>
      <c r="K233" s="64">
        <v>44867</v>
      </c>
      <c r="L233" s="20">
        <v>100</v>
      </c>
      <c r="M233" s="86"/>
    </row>
    <row r="234" spans="1:14" ht="17.25" customHeight="1" x14ac:dyDescent="0.25">
      <c r="A234" s="35"/>
      <c r="B234" s="42"/>
      <c r="C234" s="15">
        <v>220</v>
      </c>
      <c r="D234" s="16" t="s">
        <v>251</v>
      </c>
      <c r="E234" s="24" t="s">
        <v>16</v>
      </c>
      <c r="F234" s="18">
        <v>30.98</v>
      </c>
      <c r="G234" s="18">
        <v>247</v>
      </c>
      <c r="H234" s="18">
        <v>24.56</v>
      </c>
      <c r="I234" s="38"/>
      <c r="J234" s="26">
        <f t="shared" si="11"/>
        <v>302.54000000000002</v>
      </c>
      <c r="K234" s="64">
        <v>229801</v>
      </c>
      <c r="L234" s="20">
        <v>131</v>
      </c>
      <c r="M234" s="86"/>
    </row>
    <row r="235" spans="1:14" ht="17.25" customHeight="1" x14ac:dyDescent="0.25">
      <c r="A235" s="96" t="s">
        <v>46</v>
      </c>
      <c r="B235" s="96"/>
      <c r="C235" s="96"/>
      <c r="D235" s="96"/>
      <c r="E235" s="28"/>
      <c r="F235" s="29">
        <f>SUM(F215:F234)</f>
        <v>668.5</v>
      </c>
      <c r="G235" s="29">
        <f>SUM(G215:G234)</f>
        <v>4435.5200000000004</v>
      </c>
      <c r="H235" s="29">
        <f>SUM(H215:H234)</f>
        <v>786.06000000000006</v>
      </c>
      <c r="I235" s="29"/>
      <c r="J235" s="30">
        <f>SUM(J215:J234)</f>
        <v>5890.0800000000008</v>
      </c>
      <c r="K235" s="31">
        <f>SUM(K215:K234)</f>
        <v>3549497</v>
      </c>
      <c r="L235" s="31">
        <f>SUM(L215:L234)</f>
        <v>2346</v>
      </c>
      <c r="M235" s="32"/>
    </row>
    <row r="236" spans="1:14" ht="17.25" customHeight="1" x14ac:dyDescent="0.25">
      <c r="A236" s="97" t="s">
        <v>252</v>
      </c>
      <c r="B236" s="97"/>
      <c r="C236" s="97"/>
      <c r="D236" s="97"/>
      <c r="E236" s="87"/>
      <c r="F236" s="88">
        <f>F235+F214+F203+F167+F154+F113+F107+F80+F64+F36</f>
        <v>3425.66</v>
      </c>
      <c r="G236" s="88">
        <f>G235+G214+G203+G167+G154+G113+G107+G80+G64+G36</f>
        <v>38562.639999999999</v>
      </c>
      <c r="H236" s="88">
        <f>H235+H214+H203+H167+H154+H113+H107+H80+H64+H36</f>
        <v>4272.49</v>
      </c>
      <c r="I236" s="88"/>
      <c r="J236" s="88">
        <f>J235+J214+J203+J167+J154+J113+J107+J80+J64+J36</f>
        <v>46258.200000000004</v>
      </c>
      <c r="K236" s="89">
        <f>K235+K214+K203+K167+K154+K113+K107+K80+K64+K36</f>
        <v>27793704</v>
      </c>
      <c r="L236" s="89">
        <f>L235+L214+L203+L167+L154+L113+L107+L80+L64+L36</f>
        <v>37551</v>
      </c>
      <c r="M236" s="90"/>
      <c r="N236" s="91">
        <f>K236/1000</f>
        <v>27793.704000000002</v>
      </c>
    </row>
    <row r="237" spans="1:14" ht="15.75" customHeight="1" x14ac:dyDescent="0.25">
      <c r="B237" s="92" t="s">
        <v>253</v>
      </c>
      <c r="C237" s="93" t="s">
        <v>254</v>
      </c>
      <c r="D237" s="93"/>
    </row>
    <row r="238" spans="1:14" ht="15.75" customHeight="1" x14ac:dyDescent="0.25">
      <c r="K238" s="94" t="s">
        <v>260</v>
      </c>
    </row>
    <row r="239" spans="1:14" ht="15.75" customHeight="1" x14ac:dyDescent="0.25">
      <c r="K239" s="94" t="s">
        <v>255</v>
      </c>
    </row>
    <row r="240" spans="1:14" ht="15.75" customHeight="1" x14ac:dyDescent="0.25">
      <c r="D240" s="91">
        <f>K236/1000</f>
        <v>27793.704000000002</v>
      </c>
      <c r="K240" s="94" t="s">
        <v>256</v>
      </c>
    </row>
    <row r="241" spans="6:14" ht="15.75" customHeight="1" x14ac:dyDescent="0.25">
      <c r="K241" s="94"/>
      <c r="N241" s="33">
        <v>57000</v>
      </c>
    </row>
    <row r="242" spans="6:14" ht="15.75" customHeight="1" x14ac:dyDescent="0.25">
      <c r="F242" s="91"/>
      <c r="K242" s="94"/>
      <c r="N242" s="34">
        <f>N241-J236</f>
        <v>10741.799999999996</v>
      </c>
    </row>
    <row r="243" spans="6:14" ht="15.75" customHeight="1" x14ac:dyDescent="0.25">
      <c r="K243" s="95" t="s">
        <v>257</v>
      </c>
      <c r="N243" s="4">
        <v>9</v>
      </c>
    </row>
    <row r="244" spans="6:14" ht="15.75" customHeight="1" x14ac:dyDescent="0.25">
      <c r="K244" s="94" t="s">
        <v>258</v>
      </c>
      <c r="N244" s="34">
        <f>N242/N243</f>
        <v>1193.5333333333328</v>
      </c>
    </row>
    <row r="245" spans="6:14" ht="15.75" customHeight="1" x14ac:dyDescent="0.25">
      <c r="K245" s="94" t="s">
        <v>259</v>
      </c>
    </row>
    <row r="246" spans="6:14" ht="15.75" customHeight="1" x14ac:dyDescent="0.25">
      <c r="K246" s="94" t="s">
        <v>261</v>
      </c>
    </row>
    <row r="247" spans="6:14" ht="15.75" customHeight="1" x14ac:dyDescent="0.25">
      <c r="K247" s="94" t="s">
        <v>262</v>
      </c>
    </row>
  </sheetData>
  <mergeCells count="14">
    <mergeCell ref="A1:M2"/>
    <mergeCell ref="C4:D4"/>
    <mergeCell ref="C5:D5"/>
    <mergeCell ref="A36:D36"/>
    <mergeCell ref="A64:D64"/>
    <mergeCell ref="A203:D203"/>
    <mergeCell ref="A214:D214"/>
    <mergeCell ref="A235:D235"/>
    <mergeCell ref="A236:D236"/>
    <mergeCell ref="A80:D80"/>
    <mergeCell ref="A107:D107"/>
    <mergeCell ref="A113:D113"/>
    <mergeCell ref="A154:D154"/>
    <mergeCell ref="A167:D167"/>
  </mergeCells>
  <conditionalFormatting sqref="D7:D35">
    <cfRule type="duplicateValues" dxfId="4" priority="6"/>
  </conditionalFormatting>
  <conditionalFormatting sqref="D66:D79">
    <cfRule type="duplicateValues" dxfId="3" priority="5"/>
  </conditionalFormatting>
  <conditionalFormatting sqref="D82:D106">
    <cfRule type="duplicateValues" dxfId="2" priority="4"/>
  </conditionalFormatting>
  <conditionalFormatting sqref="D115:D153">
    <cfRule type="duplicateValues" dxfId="1" priority="3"/>
  </conditionalFormatting>
  <conditionalFormatting sqref="D156:D166">
    <cfRule type="duplicateValues" dxfId="0" priority="2"/>
  </conditionalFormatting>
  <printOptions horizontalCentered="1"/>
  <pageMargins left="0.31527777777777799" right="0.31527777777777799" top="0.35416666666666702" bottom="0.23611111111111099" header="0.511811023622047" footer="0.511811023622047"/>
  <pageSetup paperSize="9"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ARABIKA (3)</vt:lpstr>
      <vt:lpstr>'ARABIKA (3)'!Print_Area</vt:lpstr>
      <vt:lpstr>'ARABIKA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BIDANG PERKEBUNAN</dc:creator>
  <dc:description/>
  <cp:lastModifiedBy>Mahadika Nafiz Luqman</cp:lastModifiedBy>
  <cp:revision>0</cp:revision>
  <dcterms:created xsi:type="dcterms:W3CDTF">2026-03-31T04:23:39Z</dcterms:created>
  <dcterms:modified xsi:type="dcterms:W3CDTF">2026-04-26T03:55:08Z</dcterms:modified>
  <dc:language>en-US</dc:language>
</cp:coreProperties>
</file>