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5" yWindow="2685" windowWidth="21600" windowHeight="11715" tabRatio="600" firstSheet="0" activeTab="0" autoFilterDateGrouping="1"/>
  </bookViews>
  <sheets>
    <sheet xmlns:r="http://schemas.openxmlformats.org/officeDocument/2006/relationships" name="ARABIKA (3)" sheetId="1" state="visible" r:id="rId1"/>
  </sheets>
  <definedNames>
    <definedName name="_xlnm.Print_Titles" localSheetId="0">'ARABIKA (3)'!$4:$5</definedName>
    <definedName name="_xlnm.Print_Area" localSheetId="0">'ARABIKA (3)'!$A$1:$M$253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_-* #,##0.00_-;\-* #,##0.00_-;_-* &quot;-&quot;_-;_-@_-"/>
    <numFmt numFmtId="165" formatCode="_-* #,##0_-;\-* #,##0_-;_-* &quot;-&quot;_-;_-@_-"/>
    <numFmt numFmtId="166" formatCode="_-* #,##0.00_-;\-* #,##0.00_-;_-* &quot;-&quot;??_-;_-@_-"/>
    <numFmt numFmtId="167" formatCode="_-* #,##0.000_-;\-* #,##0.000_-;_-* &quot;-&quot;_-;_-@_-"/>
    <numFmt numFmtId="168" formatCode="_(* #,##0.0_);_(* \(#,##0.0\);_(* &quot;-&quot;??_);_(@_)"/>
    <numFmt numFmtId="169" formatCode="_(* #,##0_);_(* \(#,##0\);_(* &quot;-&quot;??_);_(@_)"/>
    <numFmt numFmtId="170" formatCode="_-* #,##0_-;\-* #,##0_-;_-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Bookman Old Style"/>
      <family val="1"/>
      <b val="1"/>
      <color theme="1"/>
      <sz val="18"/>
    </font>
    <font>
      <name val="Bookman Old Style"/>
      <family val="1"/>
      <color theme="1"/>
      <sz val="11"/>
    </font>
    <font>
      <name val="Bookman Old Style"/>
      <family val="1"/>
      <b val="1"/>
      <i val="1"/>
      <color theme="1"/>
      <sz val="11"/>
    </font>
    <font>
      <name val="Bookman Old Style"/>
      <family val="1"/>
      <i val="1"/>
      <color theme="1"/>
      <sz val="11"/>
    </font>
    <font>
      <name val="Bookman Old Style"/>
      <family val="1"/>
      <sz val="11"/>
    </font>
    <font>
      <name val="Bookman Old Style"/>
      <family val="1"/>
      <b val="1"/>
      <color theme="1"/>
      <sz val="11"/>
    </font>
    <font>
      <name val="Times New Roman"/>
      <family val="1"/>
      <color rgb="FF000000"/>
      <sz val="10"/>
    </font>
    <font>
      <name val="Bookman Old Style"/>
      <family val="1"/>
      <color rgb="FF000000"/>
      <sz val="11"/>
    </font>
    <font>
      <name val="Bookman Old Style"/>
      <family val="1"/>
      <color rgb="FF000000"/>
      <sz val="10"/>
    </font>
    <font>
      <name val="Bookman Old Style"/>
      <family val="1"/>
      <sz val="10"/>
    </font>
    <font>
      <name val="Bookman Old Style"/>
      <family val="1"/>
      <color theme="1"/>
      <sz val="10"/>
    </font>
    <font>
      <name val="Bookman Old Style"/>
      <family val="1"/>
      <color theme="1"/>
      <sz val="12"/>
    </font>
    <font>
      <name val="Bookman Old Style"/>
      <family val="1"/>
      <b val="1"/>
      <color theme="1"/>
      <sz val="12"/>
      <u val="single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</borders>
  <cellStyleXfs count="4">
    <xf numFmtId="0" fontId="1" fillId="0" borderId="0"/>
    <xf numFmtId="43" fontId="1" fillId="0" borderId="0"/>
    <xf numFmtId="41" fontId="1" fillId="0" borderId="0"/>
    <xf numFmtId="0" fontId="8" fillId="0" borderId="0"/>
  </cellStyleXfs>
  <cellXfs count="18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vertical="center" wrapText="1"/>
    </xf>
    <xf numFmtId="0" fontId="6" fillId="2" borderId="9" applyAlignment="1" pivotButton="0" quotePrefix="0" xfId="0">
      <alignment horizontal="center"/>
    </xf>
    <xf numFmtId="164" fontId="3" fillId="0" borderId="9" applyAlignment="1" pivotButton="0" quotePrefix="0" xfId="2">
      <alignment horizontal="center" vertical="center" wrapText="1"/>
    </xf>
    <xf numFmtId="165" fontId="3" fillId="0" borderId="9" applyAlignment="1" pivotButton="0" quotePrefix="0" xfId="2">
      <alignment horizontal="center" vertical="center" wrapText="1"/>
    </xf>
    <xf numFmtId="49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/>
    </xf>
    <xf numFmtId="0" fontId="6" fillId="2" borderId="9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165" fontId="3" fillId="2" borderId="9" applyAlignment="1" pivotButton="0" quotePrefix="0" xfId="2">
      <alignment horizontal="center" vertical="center" wrapText="1"/>
    </xf>
    <xf numFmtId="164" fontId="3" fillId="2" borderId="9" applyAlignment="1" pivotButton="0" quotePrefix="0" xfId="2">
      <alignment horizontal="center" vertical="center"/>
    </xf>
    <xf numFmtId="164" fontId="3" fillId="0" borderId="0" pivotButton="0" quotePrefix="0" xfId="0"/>
    <xf numFmtId="0" fontId="7" fillId="0" borderId="9" applyAlignment="1" pivotButton="0" quotePrefix="0" xfId="0">
      <alignment horizontal="center" vertical="center"/>
    </xf>
    <xf numFmtId="164" fontId="7" fillId="0" borderId="9" applyAlignment="1" pivotButton="0" quotePrefix="0" xfId="2">
      <alignment horizontal="center" vertical="center"/>
    </xf>
    <xf numFmtId="164" fontId="7" fillId="3" borderId="9" applyAlignment="1" pivotButton="0" quotePrefix="0" xfId="2">
      <alignment horizontal="center" vertical="center"/>
    </xf>
    <xf numFmtId="49" fontId="3" fillId="0" borderId="10" pivotButton="0" quotePrefix="0" xfId="0"/>
    <xf numFmtId="43" fontId="3" fillId="0" borderId="0" pivotButton="0" quotePrefix="0" xfId="1"/>
    <xf numFmtId="43" fontId="3" fillId="0" borderId="0" pivotButton="0" quotePrefix="0" xfId="0"/>
    <xf numFmtId="0" fontId="3" fillId="0" borderId="11" applyAlignment="1" pivotButton="0" quotePrefix="0" xfId="0">
      <alignment horizontal="center"/>
    </xf>
    <xf numFmtId="0" fontId="3" fillId="2" borderId="9" pivotButton="0" quotePrefix="0" xfId="0"/>
    <xf numFmtId="0" fontId="9" fillId="0" borderId="8" applyAlignment="1" pivotButton="0" quotePrefix="0" xfId="3">
      <alignment vertical="center"/>
    </xf>
    <xf numFmtId="164" fontId="3" fillId="0" borderId="9" applyAlignment="1" pivotButton="0" quotePrefix="0" xfId="2">
      <alignment vertical="center"/>
    </xf>
    <xf numFmtId="164" fontId="3" fillId="0" borderId="9" pivotButton="0" quotePrefix="0" xfId="2"/>
    <xf numFmtId="164" fontId="3" fillId="0" borderId="12" applyAlignment="1" pivotButton="0" quotePrefix="0" xfId="2">
      <alignment vertical="center"/>
    </xf>
    <xf numFmtId="165" fontId="9" fillId="0" borderId="9" applyAlignment="1" pivotButton="0" quotePrefix="0" xfId="2">
      <alignment horizontal="center" vertical="center" shrinkToFit="1"/>
    </xf>
    <xf numFmtId="0" fontId="3" fillId="0" borderId="13" pivotButton="0" quotePrefix="0" xfId="0"/>
    <xf numFmtId="0" fontId="3" fillId="0" borderId="9" pivotButton="0" quotePrefix="0" xfId="0"/>
    <xf numFmtId="164" fontId="9" fillId="0" borderId="9" applyAlignment="1" pivotButton="0" quotePrefix="0" xfId="2">
      <alignment vertical="center"/>
    </xf>
    <xf numFmtId="165" fontId="9" fillId="0" borderId="9" applyAlignment="1" pivotButton="0" quotePrefix="0" xfId="2">
      <alignment horizontal="center" vertical="center"/>
    </xf>
    <xf numFmtId="0" fontId="9" fillId="0" borderId="8" applyAlignment="1" pivotButton="0" quotePrefix="0" xfId="3">
      <alignment vertical="center" wrapText="1"/>
    </xf>
    <xf numFmtId="165" fontId="3" fillId="0" borderId="9" applyAlignment="1" pivotButton="0" quotePrefix="0" xfId="2">
      <alignment horizontal="center" vertical="center"/>
    </xf>
    <xf numFmtId="0" fontId="3" fillId="0" borderId="8" applyAlignment="1" pivotButton="0" quotePrefix="0" xfId="3">
      <alignment horizontal="left" vertical="center"/>
    </xf>
    <xf numFmtId="164" fontId="3" fillId="0" borderId="9" applyAlignment="1" pivotButton="0" quotePrefix="0" xfId="2">
      <alignment horizontal="right" vertical="center"/>
    </xf>
    <xf numFmtId="0" fontId="3" fillId="0" borderId="8" applyAlignment="1" pivotButton="0" quotePrefix="0" xfId="3">
      <alignment vertical="center"/>
    </xf>
    <xf numFmtId="0" fontId="9" fillId="0" borderId="8" applyAlignment="1" pivotButton="0" quotePrefix="0" xfId="3">
      <alignment horizontal="left" vertical="center"/>
    </xf>
    <xf numFmtId="164" fontId="9" fillId="0" borderId="9" applyAlignment="1" pivotButton="0" quotePrefix="0" xfId="2">
      <alignment horizontal="right" vertical="center"/>
    </xf>
    <xf numFmtId="166" fontId="3" fillId="0" borderId="13" pivotButton="0" quotePrefix="0" xfId="0"/>
    <xf numFmtId="0" fontId="9" fillId="0" borderId="14" applyAlignment="1" pivotButton="0" quotePrefix="0" xfId="0">
      <alignment vertical="center"/>
    </xf>
    <xf numFmtId="164" fontId="9" fillId="0" borderId="9" applyAlignment="1" pivotButton="0" quotePrefix="0" xfId="2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3" fillId="0" borderId="10" pivotButton="0" quotePrefix="0" xfId="0"/>
    <xf numFmtId="0" fontId="9" fillId="0" borderId="8" applyAlignment="1" pivotButton="0" quotePrefix="0" xfId="0">
      <alignment vertical="center"/>
    </xf>
    <xf numFmtId="0" fontId="9" fillId="4" borderId="8" applyAlignment="1" pivotButton="0" quotePrefix="0" xfId="0">
      <alignment vertical="center"/>
    </xf>
    <xf numFmtId="0" fontId="9" fillId="0" borderId="8" applyAlignment="1" pivotButton="0" quotePrefix="0" xfId="0">
      <alignment horizontal="left" vertical="center"/>
    </xf>
    <xf numFmtId="164" fontId="9" fillId="0" borderId="8" applyAlignment="1" pivotButton="0" quotePrefix="0" xfId="2">
      <alignment horizontal="center" vertical="center" wrapText="1"/>
    </xf>
    <xf numFmtId="164" fontId="9" fillId="4" borderId="8" applyAlignment="1" pivotButton="0" quotePrefix="0" xfId="2">
      <alignment horizontal="center" vertical="center"/>
    </xf>
    <xf numFmtId="0" fontId="6" fillId="2" borderId="8" applyAlignment="1" pivotButton="0" quotePrefix="0" xfId="0">
      <alignment vertical="center"/>
    </xf>
    <xf numFmtId="164" fontId="3" fillId="0" borderId="12" applyAlignment="1" pivotButton="0" quotePrefix="0" xfId="2">
      <alignment horizontal="center" vertical="center" wrapText="1"/>
    </xf>
    <xf numFmtId="167" fontId="3" fillId="0" borderId="12" applyAlignment="1" pivotButton="0" quotePrefix="0" xfId="2">
      <alignment horizontal="center" vertical="center" wrapText="1"/>
    </xf>
    <xf numFmtId="164" fontId="3" fillId="0" borderId="12" applyAlignment="1" pivotButton="0" quotePrefix="1" xfId="2">
      <alignment horizontal="center" vertical="center" wrapText="1"/>
    </xf>
    <xf numFmtId="165" fontId="3" fillId="0" borderId="12" applyAlignment="1" pivotButton="0" quotePrefix="0" xfId="2">
      <alignment horizontal="center" vertical="center" wrapText="1"/>
    </xf>
    <xf numFmtId="0" fontId="3" fillId="0" borderId="8" applyAlignment="1" pivotButton="0" quotePrefix="0" xfId="0">
      <alignment horizontal="left"/>
    </xf>
    <xf numFmtId="167" fontId="3" fillId="0" borderId="9" applyAlignment="1" pivotButton="0" quotePrefix="0" xfId="2">
      <alignment horizontal="center" vertical="center" wrapText="1"/>
    </xf>
    <xf numFmtId="164" fontId="3" fillId="0" borderId="9" applyAlignment="1" pivotButton="0" quotePrefix="1" xfId="2">
      <alignment horizontal="center" vertical="center" wrapText="1"/>
    </xf>
    <xf numFmtId="167" fontId="3" fillId="2" borderId="9" applyAlignment="1" pivotButton="0" quotePrefix="0" xfId="2">
      <alignment horizontal="center" vertical="center"/>
    </xf>
    <xf numFmtId="0" fontId="3" fillId="2" borderId="8" applyAlignment="1" pivotButton="0" quotePrefix="0" xfId="0">
      <alignment horizontal="left"/>
    </xf>
    <xf numFmtId="164" fontId="3" fillId="0" borderId="9" applyAlignment="1" pivotButton="0" quotePrefix="1" xfId="2">
      <alignment vertical="center"/>
    </xf>
    <xf numFmtId="167" fontId="3" fillId="0" borderId="9" applyAlignment="1" pivotButton="0" quotePrefix="1" xfId="2">
      <alignment horizontal="center" vertical="center"/>
    </xf>
    <xf numFmtId="0" fontId="3" fillId="0" borderId="15" applyAlignment="1" pivotButton="0" quotePrefix="0" xfId="0">
      <alignment horizontal="center"/>
    </xf>
    <xf numFmtId="0" fontId="11" fillId="0" borderId="16" pivotButton="0" quotePrefix="0" xfId="0"/>
    <xf numFmtId="164" fontId="11" fillId="0" borderId="17" applyAlignment="1" pivotButton="0" quotePrefix="0" xfId="2">
      <alignment horizontal="center" vertical="center" wrapText="1"/>
    </xf>
    <xf numFmtId="164" fontId="11" fillId="0" borderId="0" applyAlignment="1" pivotButton="0" quotePrefix="0" xfId="2">
      <alignment horizontal="center" vertical="center" wrapText="1"/>
    </xf>
    <xf numFmtId="164" fontId="3" fillId="0" borderId="9" pivotButton="0" quotePrefix="0" xfId="0"/>
    <xf numFmtId="166" fontId="3" fillId="0" borderId="9" pivotButton="0" quotePrefix="0" xfId="0"/>
    <xf numFmtId="165" fontId="11" fillId="0" borderId="17" applyAlignment="1" pivotButton="0" quotePrefix="0" xfId="2">
      <alignment horizontal="center" vertical="center" wrapText="1"/>
    </xf>
    <xf numFmtId="0" fontId="3" fillId="0" borderId="18" applyAlignment="1" pivotButton="0" quotePrefix="0" xfId="0">
      <alignment horizontal="center"/>
    </xf>
    <xf numFmtId="0" fontId="11" fillId="0" borderId="19" applyAlignment="1" pivotButton="0" quotePrefix="0" xfId="0">
      <alignment vertical="center"/>
    </xf>
    <xf numFmtId="0" fontId="3" fillId="0" borderId="20" applyAlignment="1" pivotButton="0" quotePrefix="0" xfId="0">
      <alignment horizontal="center"/>
    </xf>
    <xf numFmtId="0" fontId="11" fillId="0" borderId="21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164" fontId="3" fillId="0" borderId="9" applyAlignment="1" pivotButton="0" quotePrefix="0" xfId="2">
      <alignment horizontal="center" vertical="center" wrapText="1"/>
    </xf>
    <xf numFmtId="165" fontId="3" fillId="0" borderId="9" applyAlignment="1" pivotButton="0" quotePrefix="0" xfId="2">
      <alignment horizontal="center"/>
    </xf>
    <xf numFmtId="164" fontId="3" fillId="0" borderId="8" applyAlignment="1" pivotButton="0" quotePrefix="0" xfId="2">
      <alignment horizontal="center" vertical="center"/>
    </xf>
    <xf numFmtId="0" fontId="3" fillId="2" borderId="7" applyAlignment="1" pivotButton="0" quotePrefix="0" xfId="0">
      <alignment horizontal="center"/>
    </xf>
    <xf numFmtId="0" fontId="3" fillId="2" borderId="8" applyAlignment="1" pivotButton="0" quotePrefix="0" xfId="0">
      <alignment vertical="center"/>
    </xf>
    <xf numFmtId="164" fontId="3" fillId="2" borderId="9" applyAlignment="1" pivotButton="0" quotePrefix="0" xfId="2">
      <alignment horizontal="center" vertical="center" wrapText="1"/>
    </xf>
    <xf numFmtId="164" fontId="3" fillId="2" borderId="8" applyAlignment="1" pivotButton="0" quotePrefix="0" xfId="2">
      <alignment horizontal="center" vertical="center"/>
    </xf>
    <xf numFmtId="164" fontId="3" fillId="2" borderId="9" pivotButton="0" quotePrefix="0" xfId="2"/>
    <xf numFmtId="166" fontId="3" fillId="2" borderId="9" pivotButton="0" quotePrefix="0" xfId="0"/>
    <xf numFmtId="165" fontId="3" fillId="2" borderId="8" applyAlignment="1" pivotButton="0" quotePrefix="0" xfId="2">
      <alignment horizontal="center" vertical="center"/>
    </xf>
    <xf numFmtId="165" fontId="3" fillId="2" borderId="9" pivotButton="0" quotePrefix="0" xfId="2"/>
    <xf numFmtId="0" fontId="6" fillId="2" borderId="8" pivotButton="0" quotePrefix="0" xfId="0"/>
    <xf numFmtId="165" fontId="12" fillId="0" borderId="9" applyAlignment="1" pivotButton="0" quotePrefix="0" xfId="2">
      <alignment horizontal="center" vertical="center" wrapText="1"/>
    </xf>
    <xf numFmtId="166" fontId="3" fillId="0" borderId="10" pivotButton="0" quotePrefix="0" xfId="0"/>
    <xf numFmtId="164" fontId="3" fillId="0" borderId="9" applyAlignment="1" pivotButton="0" quotePrefix="0" xfId="2">
      <alignment horizontal="center" vertical="center"/>
    </xf>
    <xf numFmtId="0" fontId="3" fillId="0" borderId="9" applyAlignment="1" pivotButton="0" quotePrefix="0" xfId="0">
      <alignment horizontal="center"/>
    </xf>
    <xf numFmtId="168" fontId="3" fillId="0" borderId="0" pivotButton="0" quotePrefix="0" xfId="1"/>
    <xf numFmtId="0" fontId="3" fillId="2" borderId="9" applyAlignment="1" pivotButton="0" quotePrefix="0" xfId="0">
      <alignment vertical="center"/>
    </xf>
    <xf numFmtId="164" fontId="12" fillId="0" borderId="9" applyAlignment="1" pivotButton="0" quotePrefix="0" xfId="2">
      <alignment horizontal="center" vertical="center" wrapText="1"/>
    </xf>
    <xf numFmtId="164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169" fontId="3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165" fontId="3" fillId="2" borderId="9" pivotButton="0" quotePrefix="0" xfId="2"/>
    <xf numFmtId="165" fontId="0" fillId="0" borderId="9" applyAlignment="1" pivotButton="0" quotePrefix="0" xfId="2">
      <alignment horizontal="center"/>
    </xf>
    <xf numFmtId="165" fontId="3" fillId="0" borderId="10" pivotButton="0" quotePrefix="0" xfId="2"/>
    <xf numFmtId="170" fontId="3" fillId="2" borderId="9" pivotButton="0" quotePrefix="0" xfId="0"/>
    <xf numFmtId="170" fontId="3" fillId="0" borderId="9" pivotButton="0" quotePrefix="0" xfId="0"/>
    <xf numFmtId="0" fontId="7" fillId="0" borderId="23" applyAlignment="1" pivotButton="0" quotePrefix="0" xfId="0">
      <alignment horizontal="center" vertical="center"/>
    </xf>
    <xf numFmtId="164" fontId="7" fillId="0" borderId="23" applyAlignment="1" pivotButton="0" quotePrefix="0" xfId="2">
      <alignment horizontal="center" vertical="center"/>
    </xf>
    <xf numFmtId="49" fontId="3" fillId="0" borderId="24" pivotButton="0" quotePrefix="0" xfId="0"/>
    <xf numFmtId="166" fontId="3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4" fontId="3" fillId="0" borderId="9" applyAlignment="1" pivotButton="0" quotePrefix="0" xfId="2">
      <alignment horizontal="center" vertical="center" wrapText="1"/>
    </xf>
    <xf numFmtId="165" fontId="3" fillId="0" borderId="9" applyAlignment="1" pivotButton="0" quotePrefix="0" xfId="2">
      <alignment horizontal="center" vertical="center" wrapText="1"/>
    </xf>
    <xf numFmtId="165" fontId="3" fillId="2" borderId="9" applyAlignment="1" pivotButton="0" quotePrefix="0" xfId="2">
      <alignment horizontal="center" vertical="center" wrapText="1"/>
    </xf>
    <xf numFmtId="4" fontId="3" fillId="2" borderId="9" applyAlignment="1" pivotButton="0" quotePrefix="0" xfId="2">
      <alignment horizontal="center" vertical="center"/>
    </xf>
    <xf numFmtId="0" fontId="0" fillId="0" borderId="14" pivotButton="0" quotePrefix="0" xfId="0"/>
    <xf numFmtId="43" fontId="3" fillId="0" borderId="0" pivotButton="0" quotePrefix="0" xfId="1"/>
    <xf numFmtId="43" fontId="3" fillId="0" borderId="0" pivotButton="0" quotePrefix="0" xfId="0"/>
    <xf numFmtId="4" fontId="3" fillId="0" borderId="9" applyAlignment="1" pivotButton="0" quotePrefix="0" xfId="2">
      <alignment vertical="center"/>
    </xf>
    <xf numFmtId="4" fontId="3" fillId="0" borderId="12" applyAlignment="1" pivotButton="0" quotePrefix="0" xfId="2">
      <alignment vertical="center"/>
    </xf>
    <xf numFmtId="165" fontId="9" fillId="0" borderId="9" applyAlignment="1" pivotButton="0" quotePrefix="0" xfId="2">
      <alignment horizontal="center" vertical="center" shrinkToFit="1"/>
    </xf>
    <xf numFmtId="4" fontId="9" fillId="0" borderId="9" applyAlignment="1" pivotButton="0" quotePrefix="0" xfId="2">
      <alignment vertical="center"/>
    </xf>
    <xf numFmtId="165" fontId="9" fillId="0" borderId="9" applyAlignment="1" pivotButton="0" quotePrefix="0" xfId="2">
      <alignment horizontal="center" vertical="center"/>
    </xf>
    <xf numFmtId="165" fontId="3" fillId="0" borderId="9" applyAlignment="1" pivotButton="0" quotePrefix="0" xfId="2">
      <alignment horizontal="center" vertical="center"/>
    </xf>
    <xf numFmtId="4" fontId="3" fillId="0" borderId="9" applyAlignment="1" pivotButton="0" quotePrefix="0" xfId="2">
      <alignment horizontal="right" vertical="center"/>
    </xf>
    <xf numFmtId="4" fontId="9" fillId="0" borderId="9" applyAlignment="1" pivotButton="0" quotePrefix="0" xfId="2">
      <alignment horizontal="right" vertical="center"/>
    </xf>
    <xf numFmtId="166" fontId="3" fillId="0" borderId="13" pivotButton="0" quotePrefix="0" xfId="0"/>
    <xf numFmtId="4" fontId="9" fillId="0" borderId="9" applyAlignment="1" pivotButton="0" quotePrefix="0" xfId="2">
      <alignment horizontal="center" vertical="center" wrapText="1"/>
    </xf>
    <xf numFmtId="4" fontId="9" fillId="0" borderId="8" applyAlignment="1" pivotButton="0" quotePrefix="0" xfId="2">
      <alignment horizontal="center" vertical="center" wrapText="1"/>
    </xf>
    <xf numFmtId="4" fontId="9" fillId="4" borderId="8" applyAlignment="1" pivotButton="0" quotePrefix="0" xfId="2">
      <alignment horizontal="center" vertical="center"/>
    </xf>
    <xf numFmtId="4" fontId="3" fillId="0" borderId="12" applyAlignment="1" pivotButton="0" quotePrefix="0" xfId="2">
      <alignment horizontal="center" vertical="center" wrapText="1"/>
    </xf>
    <xf numFmtId="4" fontId="3" fillId="0" borderId="12" applyAlignment="1" pivotButton="0" quotePrefix="1" xfId="2">
      <alignment horizontal="center" vertical="center" wrapText="1"/>
    </xf>
    <xf numFmtId="165" fontId="3" fillId="0" borderId="12" applyAlignment="1" pivotButton="0" quotePrefix="0" xfId="2">
      <alignment horizontal="center" vertical="center" wrapText="1"/>
    </xf>
    <xf numFmtId="4" fontId="3" fillId="0" borderId="9" applyAlignment="1" pivotButton="0" quotePrefix="1" xfId="2">
      <alignment horizontal="center" vertical="center" wrapText="1"/>
    </xf>
    <xf numFmtId="4" fontId="3" fillId="0" borderId="9" applyAlignment="1" pivotButton="0" quotePrefix="1" xfId="2">
      <alignment vertical="center"/>
    </xf>
    <xf numFmtId="4" fontId="3" fillId="0" borderId="9" applyAlignment="1" pivotButton="0" quotePrefix="1" xfId="2">
      <alignment horizontal="center" vertical="center"/>
    </xf>
    <xf numFmtId="4" fontId="11" fillId="0" borderId="17" applyAlignment="1" pivotButton="0" quotePrefix="0" xfId="2">
      <alignment horizontal="center" vertical="center" wrapText="1"/>
    </xf>
    <xf numFmtId="4" fontId="3" fillId="0" borderId="9" pivotButton="0" quotePrefix="0" xfId="0"/>
    <xf numFmtId="165" fontId="11" fillId="0" borderId="17" applyAlignment="1" pivotButton="0" quotePrefix="0" xfId="2">
      <alignment horizontal="center" vertical="center" wrapText="1"/>
    </xf>
    <xf numFmtId="4" fontId="3" fillId="0" borderId="9" pivotButton="0" quotePrefix="0" xfId="2"/>
    <xf numFmtId="165" fontId="3" fillId="0" borderId="9" applyAlignment="1" pivotButton="0" quotePrefix="0" xfId="2">
      <alignment horizontal="center"/>
    </xf>
    <xf numFmtId="4" fontId="3" fillId="0" borderId="8" applyAlignment="1" pivotButton="0" quotePrefix="0" xfId="2">
      <alignment horizontal="center" vertical="center"/>
    </xf>
    <xf numFmtId="4" fontId="3" fillId="2" borderId="9" applyAlignment="1" pivotButton="0" quotePrefix="0" xfId="2">
      <alignment horizontal="center" vertical="center" wrapText="1"/>
    </xf>
    <xf numFmtId="4" fontId="3" fillId="2" borderId="8" applyAlignment="1" pivotButton="0" quotePrefix="0" xfId="2">
      <alignment horizontal="center" vertical="center"/>
    </xf>
    <xf numFmtId="4" fontId="3" fillId="2" borderId="9" pivotButton="0" quotePrefix="0" xfId="2"/>
    <xf numFmtId="4" fontId="3" fillId="2" borderId="9" pivotButton="0" quotePrefix="0" xfId="0"/>
    <xf numFmtId="165" fontId="3" fillId="2" borderId="9" pivotButton="0" quotePrefix="0" xfId="2"/>
    <xf numFmtId="4" fontId="12" fillId="0" borderId="9" applyAlignment="1" pivotButton="0" quotePrefix="0" xfId="2">
      <alignment horizontal="center" vertical="center" wrapText="1"/>
    </xf>
    <xf numFmtId="166" fontId="3" fillId="0" borderId="10" pivotButton="0" quotePrefix="0" xfId="0"/>
    <xf numFmtId="4" fontId="3" fillId="0" borderId="9" applyAlignment="1" pivotButton="0" quotePrefix="0" xfId="2">
      <alignment horizontal="center" vertical="center"/>
    </xf>
    <xf numFmtId="168" fontId="3" fillId="0" borderId="0" pivotButton="0" quotePrefix="0" xfId="1"/>
    <xf numFmtId="165" fontId="12" fillId="0" borderId="9" applyAlignment="1" pivotButton="0" quotePrefix="0" xfId="2">
      <alignment horizontal="center" vertical="center" wrapText="1"/>
    </xf>
    <xf numFmtId="169" fontId="3" fillId="0" borderId="0" applyAlignment="1" pivotButton="0" quotePrefix="0" xfId="1">
      <alignment vertical="center"/>
    </xf>
    <xf numFmtId="169" fontId="3" fillId="0" borderId="0" applyAlignment="1" pivotButton="0" quotePrefix="0" xfId="0">
      <alignment vertical="center"/>
    </xf>
    <xf numFmtId="165" fontId="0" fillId="0" borderId="9" applyAlignment="1" pivotButton="0" quotePrefix="0" xfId="2">
      <alignment horizontal="center"/>
    </xf>
    <xf numFmtId="165" fontId="3" fillId="0" borderId="10" pivotButton="0" quotePrefix="0" xfId="2"/>
    <xf numFmtId="0" fontId="0" fillId="0" borderId="27" pivotButton="0" quotePrefix="0" xfId="0"/>
    <xf numFmtId="0" fontId="0" fillId="0" borderId="28" pivotButton="0" quotePrefix="0" xfId="0"/>
    <xf numFmtId="166" fontId="3" fillId="0" borderId="0" pivotButton="0" quotePrefix="0" xfId="0"/>
  </cellXfs>
  <cellStyles count="4">
    <cellStyle name="Normal" xfId="0" builtinId="0"/>
    <cellStyle name="Comma" xfId="1" builtinId="3"/>
    <cellStyle name="Comma [0]" xfId="2" builtinId="6"/>
    <cellStyle name="Normal 4" xfId="3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tabSelected="1" view="pageBreakPreview" zoomScale="80" zoomScaleNormal="80" zoomScaleSheetLayoutView="80" workbookViewId="0">
      <pane ySplit="5" topLeftCell="A110" activePane="bottomLeft" state="frozen"/>
      <selection pane="bottomLeft" activeCell="D110" sqref="D110"/>
    </sheetView>
  </sheetViews>
  <sheetFormatPr baseColWidth="8" defaultColWidth="9.140625" defaultRowHeight="15"/>
  <cols>
    <col width="6" customWidth="1" style="2" min="1" max="1"/>
    <col width="24.85546875" customWidth="1" style="1" min="2" max="2"/>
    <col width="7.140625" customWidth="1" style="1" min="3" max="3"/>
    <col width="33.28515625" customWidth="1" style="1" min="4" max="4"/>
    <col width="21.5703125" customWidth="1" style="1" min="5" max="5"/>
    <col width="12.7109375" customWidth="1" style="1" min="6" max="6"/>
    <col width="15" customWidth="1" style="1" min="7" max="7"/>
    <col width="12.7109375" customWidth="1" style="1" min="8" max="8"/>
    <col hidden="1" width="12.7109375" customWidth="1" style="1" min="9" max="9"/>
    <col width="15.5703125" customWidth="1" style="1" min="10" max="10"/>
    <col width="20.7109375" customWidth="1" style="1" min="11" max="11"/>
    <col width="14.28515625" bestFit="1" customWidth="1" style="2" min="12" max="12"/>
    <col width="14.28515625" customWidth="1" style="1" min="13" max="13"/>
    <col width="14.5703125" bestFit="1" customWidth="1" style="1" min="14" max="14"/>
    <col width="12" bestFit="1" customWidth="1" style="1" min="15" max="15"/>
    <col width="9.140625" customWidth="1" style="1" min="16" max="16384"/>
  </cols>
  <sheetData>
    <row r="1">
      <c r="A1" s="127" t="inlineStr">
        <is>
          <t xml:space="preserve">LAPORAN LUAS LAHAN PERKEBUNAN </t>
        </is>
      </c>
    </row>
    <row r="2"/>
    <row r="3" ht="15.75" customHeight="1" thickBot="1">
      <c r="G3" s="2" t="n"/>
    </row>
    <row r="4" ht="45" customHeight="1" thickTop="1">
      <c r="A4" s="3" t="inlineStr">
        <is>
          <t>No</t>
        </is>
      </c>
      <c r="B4" s="4" t="inlineStr">
        <is>
          <t xml:space="preserve">Kecamatan </t>
        </is>
      </c>
      <c r="C4" s="5" t="inlineStr">
        <is>
          <t>Desa</t>
        </is>
      </c>
      <c r="D4" s="134" t="n"/>
      <c r="E4" s="5" t="inlineStr">
        <is>
          <t>Komoditi</t>
        </is>
      </c>
      <c r="F4" s="5" t="inlineStr">
        <is>
          <t>TBM (Ha)</t>
        </is>
      </c>
      <c r="G4" s="5" t="inlineStr">
        <is>
          <t>TM (Ha)</t>
        </is>
      </c>
      <c r="H4" s="5" t="inlineStr">
        <is>
          <t>TTR (Ha)</t>
        </is>
      </c>
      <c r="I4" s="5" t="inlineStr">
        <is>
          <t>Penambahan15 %</t>
        </is>
      </c>
      <c r="J4" s="5" t="inlineStr">
        <is>
          <t>Total Luas Lahan (Ha)</t>
        </is>
      </c>
      <c r="K4" s="5" t="inlineStr">
        <is>
          <t>Produksi (Kg)</t>
        </is>
      </c>
      <c r="L4" s="5" t="inlineStr">
        <is>
          <t>Jumlah Petani (KK)</t>
        </is>
      </c>
      <c r="M4" s="6" t="inlineStr">
        <is>
          <t>Keterangan</t>
        </is>
      </c>
    </row>
    <row r="5" ht="15.75" customFormat="1" customHeight="1" s="12">
      <c r="A5" s="7" t="n">
        <v>1</v>
      </c>
      <c r="B5" s="130" t="n">
        <v>2</v>
      </c>
      <c r="C5" s="9" t="n">
        <v>3</v>
      </c>
      <c r="D5" s="135" t="n"/>
      <c r="E5" s="9" t="n">
        <v>4</v>
      </c>
      <c r="F5" s="9" t="n">
        <v>5</v>
      </c>
      <c r="G5" s="9" t="n">
        <v>6</v>
      </c>
      <c r="H5" s="9" t="n">
        <v>7</v>
      </c>
      <c r="I5" s="9" t="n"/>
      <c r="J5" s="10" t="n">
        <v>8</v>
      </c>
      <c r="K5" s="9" t="n">
        <v>9</v>
      </c>
      <c r="L5" s="9" t="n">
        <v>10</v>
      </c>
      <c r="M5" s="11" t="n">
        <v>11</v>
      </c>
    </row>
    <row r="6" ht="17.25" customHeight="1">
      <c r="A6" s="13" t="inlineStr">
        <is>
          <t>I.</t>
        </is>
      </c>
      <c r="B6" s="14" t="inlineStr">
        <is>
          <t>Timang Gajah</t>
        </is>
      </c>
      <c r="C6" s="15" t="n">
        <v>1</v>
      </c>
      <c r="D6" s="16" t="inlineStr">
        <is>
          <t>Kenine</t>
        </is>
      </c>
      <c r="E6" s="17" t="inlineStr">
        <is>
          <t>Kopi Arabika</t>
        </is>
      </c>
      <c r="F6" s="136" t="n">
        <v>13.74</v>
      </c>
      <c r="G6" s="136" t="n">
        <v>104.46</v>
      </c>
      <c r="H6" s="136" t="n">
        <v>9.52</v>
      </c>
      <c r="I6" s="87" t="n"/>
      <c r="J6" s="87">
        <f>SUM(F6:H6)</f>
        <v/>
      </c>
      <c r="K6" s="136" t="n">
        <v>68222.59</v>
      </c>
      <c r="L6" s="137" t="n">
        <v>115</v>
      </c>
      <c r="M6" s="20" t="n"/>
    </row>
    <row r="7" ht="17.25" customHeight="1">
      <c r="A7" s="21" t="n"/>
      <c r="B7" s="22" t="n"/>
      <c r="C7" s="15" t="n">
        <v>2</v>
      </c>
      <c r="D7" s="23" t="inlineStr">
        <is>
          <t>Fajar Harapan</t>
        </is>
      </c>
      <c r="E7" s="17" t="inlineStr">
        <is>
          <t>Kopi Arabika</t>
        </is>
      </c>
      <c r="F7" s="136" t="n">
        <v>5.12</v>
      </c>
      <c r="G7" s="136" t="n">
        <v>21.69</v>
      </c>
      <c r="H7" s="136" t="n">
        <v>7.28</v>
      </c>
      <c r="I7" s="87" t="n"/>
      <c r="J7" s="87">
        <f>SUM(F7:H7)</f>
        <v/>
      </c>
      <c r="K7" s="136" t="n">
        <v>14958.2</v>
      </c>
      <c r="L7" s="137" t="n">
        <v>57</v>
      </c>
      <c r="M7" s="20" t="n"/>
    </row>
    <row r="8" ht="17.25" customHeight="1">
      <c r="A8" s="13" t="n"/>
      <c r="B8" s="22" t="n"/>
      <c r="C8" s="15" t="n">
        <v>3</v>
      </c>
      <c r="D8" s="23" t="inlineStr">
        <is>
          <t>Damaran Baru</t>
        </is>
      </c>
      <c r="E8" s="17" t="inlineStr">
        <is>
          <t>Kopi Arabika</t>
        </is>
      </c>
      <c r="F8" s="136" t="n">
        <v>11.14</v>
      </c>
      <c r="G8" s="136" t="n">
        <v>176.63</v>
      </c>
      <c r="H8" s="136" t="n">
        <v>15.86</v>
      </c>
      <c r="I8" s="87" t="n"/>
      <c r="J8" s="87">
        <f>SUM(F8:H8)</f>
        <v/>
      </c>
      <c r="K8" s="136" t="n">
        <v>137091.03</v>
      </c>
      <c r="L8" s="137" t="n">
        <v>143</v>
      </c>
      <c r="M8" s="20" t="n"/>
    </row>
    <row r="9" ht="17.25" customHeight="1">
      <c r="A9" s="21" t="n"/>
      <c r="B9" s="22" t="n"/>
      <c r="C9" s="15" t="n">
        <v>4</v>
      </c>
      <c r="D9" s="23" t="inlineStr">
        <is>
          <t>Pantan Pediangan</t>
        </is>
      </c>
      <c r="E9" s="17" t="inlineStr">
        <is>
          <t>Kopi Arabika</t>
        </is>
      </c>
      <c r="F9" s="136" t="n">
        <v>103.09</v>
      </c>
      <c r="G9" s="136" t="n">
        <v>289.24</v>
      </c>
      <c r="H9" s="136" t="n">
        <v>37.62</v>
      </c>
      <c r="I9" s="87" t="n"/>
      <c r="J9" s="87">
        <f>SUM(F9:H9)</f>
        <v/>
      </c>
      <c r="K9" s="136" t="n">
        <v>193748.63</v>
      </c>
      <c r="L9" s="137" t="n">
        <v>110</v>
      </c>
      <c r="M9" s="20" t="n"/>
    </row>
    <row r="10" ht="17.25" customHeight="1">
      <c r="A10" s="13" t="n"/>
      <c r="B10" s="22" t="n"/>
      <c r="C10" s="15" t="n">
        <v>5</v>
      </c>
      <c r="D10" s="23" t="inlineStr">
        <is>
          <t>Bandar Lampahan</t>
        </is>
      </c>
      <c r="E10" s="17" t="inlineStr">
        <is>
          <t>Kopi Arabika</t>
        </is>
      </c>
      <c r="F10" s="136" t="n">
        <v>11.61</v>
      </c>
      <c r="G10" s="136" t="n">
        <v>43.75</v>
      </c>
      <c r="H10" s="136" t="n">
        <v>34.62</v>
      </c>
      <c r="I10" s="87" t="n"/>
      <c r="J10" s="87">
        <f>SUM(F10:H10)</f>
        <v/>
      </c>
      <c r="K10" s="136" t="n">
        <v>28707.09</v>
      </c>
      <c r="L10" s="137" t="n">
        <v>65</v>
      </c>
      <c r="M10" s="20" t="n"/>
    </row>
    <row r="11" ht="17.25" customHeight="1">
      <c r="A11" s="21" t="n"/>
      <c r="B11" s="22" t="n"/>
      <c r="C11" s="15" t="n">
        <v>6</v>
      </c>
      <c r="D11" s="23" t="inlineStr">
        <is>
          <t>Rembune</t>
        </is>
      </c>
      <c r="E11" s="17" t="inlineStr">
        <is>
          <t>Kopi Arabika</t>
        </is>
      </c>
      <c r="F11" s="136" t="n">
        <v>11.23</v>
      </c>
      <c r="G11" s="136" t="n">
        <v>65.84999999999999</v>
      </c>
      <c r="H11" s="136" t="n">
        <v>37.8</v>
      </c>
      <c r="I11" s="87" t="n"/>
      <c r="J11" s="87">
        <f>SUM(F11:H11)</f>
        <v/>
      </c>
      <c r="K11" s="136" t="n">
        <v>49177.89</v>
      </c>
      <c r="L11" s="137" t="n">
        <v>123</v>
      </c>
      <c r="M11" s="20" t="n"/>
      <c r="O11" s="1" t="n"/>
    </row>
    <row r="12" ht="17.25" customHeight="1">
      <c r="A12" s="13" t="n"/>
      <c r="B12" s="22" t="n"/>
      <c r="C12" s="15" t="n">
        <v>7</v>
      </c>
      <c r="D12" s="23" t="inlineStr">
        <is>
          <t>Mude Benara</t>
        </is>
      </c>
      <c r="E12" s="24" t="inlineStr">
        <is>
          <t>Kopi Arabika</t>
        </is>
      </c>
      <c r="F12" s="136" t="n">
        <v>6.07</v>
      </c>
      <c r="G12" s="136" t="n">
        <v>139.29</v>
      </c>
      <c r="H12" s="136" t="n">
        <v>8.130000000000001</v>
      </c>
      <c r="I12" s="87" t="n"/>
      <c r="J12" s="87">
        <f>SUM(F12:H12)</f>
        <v/>
      </c>
      <c r="K12" s="136" t="n">
        <v>95425.98</v>
      </c>
      <c r="L12" s="137" t="n">
        <v>153</v>
      </c>
      <c r="M12" s="20" t="n"/>
    </row>
    <row r="13" ht="17.25" customHeight="1">
      <c r="A13" s="21" t="n"/>
      <c r="B13" s="22" t="n"/>
      <c r="C13" s="15" t="n">
        <v>8</v>
      </c>
      <c r="D13" s="23" t="inlineStr">
        <is>
          <t>Bumi Ayu</t>
        </is>
      </c>
      <c r="E13" s="24" t="inlineStr">
        <is>
          <t>Kopi Arabika</t>
        </is>
      </c>
      <c r="F13" s="136" t="n">
        <v>10.63</v>
      </c>
      <c r="G13" s="136" t="n">
        <v>80.29000000000001</v>
      </c>
      <c r="H13" s="136" t="n">
        <v>5.28</v>
      </c>
      <c r="I13" s="87" t="n"/>
      <c r="J13" s="87">
        <f>SUM(F13:H13)</f>
        <v/>
      </c>
      <c r="K13" s="136" t="n">
        <v>60369.21</v>
      </c>
      <c r="L13" s="137" t="n">
        <v>543</v>
      </c>
      <c r="M13" s="20" t="n"/>
    </row>
    <row r="14" ht="17.25" customHeight="1">
      <c r="A14" s="13" t="n"/>
      <c r="B14" s="22" t="n"/>
      <c r="C14" s="15" t="n">
        <v>9</v>
      </c>
      <c r="D14" s="23" t="inlineStr">
        <is>
          <t>Karang Jadi</t>
        </is>
      </c>
      <c r="E14" s="24" t="inlineStr">
        <is>
          <t>Kopi Arabika</t>
        </is>
      </c>
      <c r="F14" s="136" t="n">
        <v>1.02</v>
      </c>
      <c r="G14" s="136" t="n">
        <v>86.95999999999999</v>
      </c>
      <c r="H14" s="136" t="n">
        <v>3.07</v>
      </c>
      <c r="I14" s="87" t="n"/>
      <c r="J14" s="87">
        <f>SUM(F14:H14)</f>
        <v/>
      </c>
      <c r="K14" s="136" t="n">
        <v>66154.50999999999</v>
      </c>
      <c r="L14" s="137" t="n">
        <v>195</v>
      </c>
      <c r="M14" s="20" t="n"/>
    </row>
    <row r="15" ht="17.25" customHeight="1">
      <c r="A15" s="21" t="n"/>
      <c r="B15" s="22" t="n"/>
      <c r="C15" s="15" t="n">
        <v>10</v>
      </c>
      <c r="D15" s="23" t="inlineStr">
        <is>
          <t>Kampung Baru 76</t>
        </is>
      </c>
      <c r="E15" s="24" t="inlineStr">
        <is>
          <t>Kopi Arabika</t>
        </is>
      </c>
      <c r="F15" s="136" t="n">
        <v>69.05</v>
      </c>
      <c r="G15" s="136" t="n">
        <v>365.72</v>
      </c>
      <c r="H15" s="136" t="n">
        <v>12.95</v>
      </c>
      <c r="I15" s="87" t="n"/>
      <c r="J15" s="87">
        <f>SUM(F15:H15)</f>
        <v/>
      </c>
      <c r="K15" s="136" t="n">
        <v>238336.04</v>
      </c>
      <c r="L15" s="137" t="n">
        <v>285</v>
      </c>
      <c r="M15" s="20" t="n"/>
    </row>
    <row r="16" ht="17.25" customHeight="1">
      <c r="A16" s="13" t="n"/>
      <c r="B16" s="22" t="n"/>
      <c r="C16" s="15" t="n">
        <v>11</v>
      </c>
      <c r="D16" s="23" t="inlineStr">
        <is>
          <t>Lampahan Timur</t>
        </is>
      </c>
      <c r="E16" s="24" t="inlineStr">
        <is>
          <t>Kopi Arabika</t>
        </is>
      </c>
      <c r="F16" s="136" t="n">
        <v>10.66</v>
      </c>
      <c r="G16" s="136" t="n">
        <v>28.78</v>
      </c>
      <c r="H16" s="136" t="n">
        <v>4.28</v>
      </c>
      <c r="I16" s="87" t="n"/>
      <c r="J16" s="87">
        <f>SUM(F16:H16)</f>
        <v/>
      </c>
      <c r="K16" s="136" t="n">
        <v>22347.57</v>
      </c>
      <c r="L16" s="137" t="n">
        <v>65</v>
      </c>
      <c r="M16" s="20" t="n"/>
    </row>
    <row r="17" ht="17.25" customHeight="1">
      <c r="A17" s="21" t="n"/>
      <c r="B17" s="22" t="n"/>
      <c r="C17" s="15" t="n">
        <v>12</v>
      </c>
      <c r="D17" s="23" t="inlineStr">
        <is>
          <t>Lampahan</t>
        </is>
      </c>
      <c r="E17" s="24" t="inlineStr">
        <is>
          <t>Kopi Arabika</t>
        </is>
      </c>
      <c r="F17" s="136" t="n">
        <v>1.03</v>
      </c>
      <c r="G17" s="136" t="n">
        <v>51.33</v>
      </c>
      <c r="H17" s="136" t="n">
        <v>3.09</v>
      </c>
      <c r="I17" s="87" t="n"/>
      <c r="J17" s="87">
        <f>SUM(F17:H17)</f>
        <v/>
      </c>
      <c r="K17" s="136" t="n">
        <v>34886.09</v>
      </c>
      <c r="L17" s="137" t="n">
        <v>85</v>
      </c>
      <c r="M17" s="20" t="n"/>
    </row>
    <row r="18" ht="17.25" customHeight="1">
      <c r="A18" s="13" t="n"/>
      <c r="B18" s="22" t="n"/>
      <c r="C18" s="15" t="n">
        <v>13</v>
      </c>
      <c r="D18" s="23" t="inlineStr">
        <is>
          <t>Bukit Mulie</t>
        </is>
      </c>
      <c r="E18" s="24" t="inlineStr">
        <is>
          <t>Kopi Arabika</t>
        </is>
      </c>
      <c r="F18" s="136" t="n">
        <v>4.25</v>
      </c>
      <c r="G18" s="136" t="n">
        <v>316.14</v>
      </c>
      <c r="H18" s="136" t="n">
        <v>4.26</v>
      </c>
      <c r="I18" s="87" t="n"/>
      <c r="J18" s="87">
        <f>SUM(F18:H18)</f>
        <v/>
      </c>
      <c r="K18" s="136" t="n">
        <v>225391.02</v>
      </c>
      <c r="L18" s="137" t="n">
        <v>144</v>
      </c>
      <c r="M18" s="20" t="n"/>
    </row>
    <row r="19" ht="17.25" customHeight="1">
      <c r="A19" s="21" t="n"/>
      <c r="B19" s="22" t="n"/>
      <c r="C19" s="15" t="n">
        <v>14</v>
      </c>
      <c r="D19" s="23" t="inlineStr">
        <is>
          <t>Suka Damai</t>
        </is>
      </c>
      <c r="E19" s="24" t="inlineStr">
        <is>
          <t>Kopi Arabika</t>
        </is>
      </c>
      <c r="F19" s="136" t="n">
        <v>11.21</v>
      </c>
      <c r="G19" s="136" t="n">
        <v>52.08</v>
      </c>
      <c r="H19" s="136" t="n">
        <v>21.51</v>
      </c>
      <c r="I19" s="87" t="n"/>
      <c r="J19" s="87">
        <f>SUM(F19:H19)</f>
        <v/>
      </c>
      <c r="K19" s="136" t="n">
        <v>34779.78</v>
      </c>
      <c r="L19" s="137" t="n">
        <v>452</v>
      </c>
      <c r="M19" s="20" t="n"/>
      <c r="O19" s="1" t="n"/>
    </row>
    <row r="20" ht="17.25" customHeight="1">
      <c r="A20" s="13" t="n"/>
      <c r="B20" s="22" t="n"/>
      <c r="C20" s="15" t="n">
        <v>15</v>
      </c>
      <c r="D20" s="23" t="inlineStr">
        <is>
          <t>Sumber Jaya</t>
        </is>
      </c>
      <c r="E20" s="24" t="inlineStr">
        <is>
          <t>Kopi Arabika</t>
        </is>
      </c>
      <c r="F20" s="136" t="n">
        <v>236.52</v>
      </c>
      <c r="G20" s="136" t="n">
        <v>768.2</v>
      </c>
      <c r="H20" s="136" t="n">
        <v>170.04</v>
      </c>
      <c r="I20" s="87" t="n"/>
      <c r="J20" s="87">
        <f>SUM(F20:H20)</f>
        <v/>
      </c>
      <c r="K20" s="136" t="n">
        <v>582120.41</v>
      </c>
      <c r="L20" s="137" t="n">
        <v>355</v>
      </c>
      <c r="M20" s="20" t="n"/>
    </row>
    <row r="21" ht="17.25" customHeight="1">
      <c r="A21" s="21" t="n"/>
      <c r="B21" s="22" t="n"/>
      <c r="C21" s="15" t="n">
        <v>16</v>
      </c>
      <c r="D21" s="23" t="inlineStr">
        <is>
          <t>Lampahan Barat</t>
        </is>
      </c>
      <c r="E21" s="24" t="inlineStr">
        <is>
          <t>Kopi Arabika</t>
        </is>
      </c>
      <c r="F21" s="136" t="n">
        <v>5.29</v>
      </c>
      <c r="G21" s="136" t="n">
        <v>22.4</v>
      </c>
      <c r="H21" s="136" t="n">
        <v>5.41</v>
      </c>
      <c r="I21" s="87" t="n"/>
      <c r="J21" s="87">
        <f>SUM(F21:H21)</f>
        <v/>
      </c>
      <c r="K21" s="136" t="n">
        <v>17567.38</v>
      </c>
      <c r="L21" s="137" t="n">
        <v>79</v>
      </c>
      <c r="M21" s="20" t="n"/>
    </row>
    <row r="22" ht="17.25" customHeight="1">
      <c r="A22" s="13" t="n"/>
      <c r="B22" s="22" t="n"/>
      <c r="C22" s="15" t="n">
        <v>17</v>
      </c>
      <c r="D22" s="23" t="inlineStr">
        <is>
          <t>Mekar Ayu</t>
        </is>
      </c>
      <c r="E22" s="24" t="inlineStr">
        <is>
          <t>Kopi Arabika</t>
        </is>
      </c>
      <c r="F22" s="136" t="n">
        <v>31.83</v>
      </c>
      <c r="G22" s="136" t="n">
        <v>53.5</v>
      </c>
      <c r="H22" s="136" t="n">
        <v>0</v>
      </c>
      <c r="I22" s="87" t="n"/>
      <c r="J22" s="87">
        <f>SUM(F22:H22)</f>
        <v/>
      </c>
      <c r="K22" s="136" t="n">
        <v>44458.58</v>
      </c>
      <c r="L22" s="137" t="n">
        <v>68</v>
      </c>
      <c r="M22" s="20" t="n"/>
    </row>
    <row r="23" ht="17.25" customHeight="1">
      <c r="A23" s="21" t="n"/>
      <c r="B23" s="22" t="n"/>
      <c r="C23" s="15" t="n">
        <v>18</v>
      </c>
      <c r="D23" s="23" t="inlineStr">
        <is>
          <t>Datu Beru</t>
        </is>
      </c>
      <c r="E23" s="24" t="inlineStr">
        <is>
          <t>Kopi Arabika</t>
        </is>
      </c>
      <c r="F23" s="136" t="n">
        <v>2.09</v>
      </c>
      <c r="G23" s="136" t="n">
        <v>19.23</v>
      </c>
      <c r="H23" s="136" t="n">
        <v>3.64</v>
      </c>
      <c r="I23" s="87" t="n"/>
      <c r="J23" s="87">
        <f>SUM(F23:H23)</f>
        <v/>
      </c>
      <c r="K23" s="136" t="n">
        <v>14433.03</v>
      </c>
      <c r="L23" s="137" t="n">
        <v>56</v>
      </c>
      <c r="M23" s="20" t="n"/>
      <c r="O23" s="1" t="n"/>
    </row>
    <row r="24" ht="17.25" customHeight="1">
      <c r="A24" s="13" t="n"/>
      <c r="B24" s="22" t="n"/>
      <c r="C24" s="15" t="n">
        <v>19</v>
      </c>
      <c r="D24" s="23" t="inlineStr">
        <is>
          <t>Timang Rasa</t>
        </is>
      </c>
      <c r="E24" s="24" t="inlineStr">
        <is>
          <t>Kopi Arabika</t>
        </is>
      </c>
      <c r="F24" s="136" t="n">
        <v>0.53</v>
      </c>
      <c r="G24" s="136" t="n">
        <v>39.49</v>
      </c>
      <c r="H24" s="136" t="n">
        <v>2.69</v>
      </c>
      <c r="I24" s="87" t="n"/>
      <c r="J24" s="87">
        <f>SUM(F24:H24)</f>
        <v/>
      </c>
      <c r="K24" s="136" t="n">
        <v>30318.99</v>
      </c>
      <c r="L24" s="137" t="n">
        <v>46</v>
      </c>
      <c r="M24" s="20" t="n"/>
    </row>
    <row r="25" ht="17.25" customHeight="1">
      <c r="A25" s="21" t="n"/>
      <c r="B25" s="22" t="n"/>
      <c r="C25" s="15" t="n">
        <v>20</v>
      </c>
      <c r="D25" s="23" t="inlineStr">
        <is>
          <t>Kulem Parakanis</t>
        </is>
      </c>
      <c r="E25" s="24" t="inlineStr">
        <is>
          <t>Kopi Arabika</t>
        </is>
      </c>
      <c r="F25" s="136" t="n">
        <v>6.45</v>
      </c>
      <c r="G25" s="136" t="n">
        <v>97.36</v>
      </c>
      <c r="H25" s="136" t="n">
        <v>3.25</v>
      </c>
      <c r="I25" s="87" t="n"/>
      <c r="J25" s="87">
        <f>SUM(F25:H25)</f>
        <v/>
      </c>
      <c r="K25" s="136" t="n">
        <v>73351.75999999999</v>
      </c>
      <c r="L25" s="137" t="n">
        <v>103</v>
      </c>
      <c r="M25" s="20" t="n"/>
    </row>
    <row r="26" ht="17.25" customHeight="1">
      <c r="A26" s="21" t="n"/>
      <c r="B26" s="22" t="n"/>
      <c r="C26" s="15" t="n">
        <v>21</v>
      </c>
      <c r="D26" s="23" t="inlineStr">
        <is>
          <t>Linung Bale</t>
        </is>
      </c>
      <c r="E26" s="24" t="inlineStr">
        <is>
          <t>Kopi Arabika</t>
        </is>
      </c>
      <c r="F26" s="136" t="n">
        <v>3.14</v>
      </c>
      <c r="G26" s="136" t="n">
        <v>16.96</v>
      </c>
      <c r="H26" s="136" t="n">
        <v>2.1</v>
      </c>
      <c r="I26" s="87" t="n"/>
      <c r="J26" s="87">
        <f>SUM(F26:H26)</f>
        <v/>
      </c>
      <c r="K26" s="136" t="n">
        <v>11158.47</v>
      </c>
      <c r="L26" s="137" t="n">
        <v>49</v>
      </c>
      <c r="M26" s="20" t="n"/>
      <c r="O26" s="1" t="n"/>
    </row>
    <row r="27" ht="17.25" customHeight="1">
      <c r="A27" s="21" t="n"/>
      <c r="B27" s="22" t="n"/>
      <c r="C27" s="15" t="n">
        <v>22</v>
      </c>
      <c r="D27" s="23" t="inlineStr">
        <is>
          <t>Gunung Tunyang</t>
        </is>
      </c>
      <c r="E27" s="24" t="inlineStr">
        <is>
          <t>Kopi Arabika</t>
        </is>
      </c>
      <c r="F27" s="136" t="n">
        <v>0</v>
      </c>
      <c r="G27" s="136" t="n">
        <v>3.09</v>
      </c>
      <c r="H27" s="136" t="n">
        <v>0</v>
      </c>
      <c r="I27" s="87" t="n"/>
      <c r="J27" s="87">
        <f>SUM(F27:H27)</f>
        <v/>
      </c>
      <c r="K27" s="136" t="n">
        <v>2168.07</v>
      </c>
      <c r="L27" s="137" t="n">
        <v>1</v>
      </c>
      <c r="M27" s="20" t="n"/>
    </row>
    <row r="28" ht="17.25" customHeight="1">
      <c r="A28" s="21" t="n"/>
      <c r="B28" s="22" t="n"/>
      <c r="C28" s="15" t="n">
        <v>23</v>
      </c>
      <c r="D28" s="23" t="inlineStr">
        <is>
          <t>Bukit Tunyang</t>
        </is>
      </c>
      <c r="E28" s="24" t="inlineStr">
        <is>
          <t>Kopi Arabika</t>
        </is>
      </c>
      <c r="F28" s="136" t="n">
        <v>10.33</v>
      </c>
      <c r="G28" s="136" t="n">
        <v>19.39</v>
      </c>
      <c r="H28" s="136" t="n">
        <v>16.33</v>
      </c>
      <c r="I28" s="87" t="n"/>
      <c r="J28" s="87">
        <f>SUM(F28:H28)</f>
        <v/>
      </c>
      <c r="K28" s="136" t="n">
        <v>13377.01</v>
      </c>
      <c r="L28" s="137" t="n">
        <v>33</v>
      </c>
      <c r="M28" s="20" t="n"/>
      <c r="O28" s="1" t="n"/>
    </row>
    <row r="29" ht="17.25" customHeight="1">
      <c r="A29" s="21" t="n"/>
      <c r="B29" s="22" t="n"/>
      <c r="C29" s="15" t="n">
        <v>24</v>
      </c>
      <c r="D29" s="23" t="inlineStr">
        <is>
          <t>Gegur Sepakat</t>
        </is>
      </c>
      <c r="E29" s="24" t="inlineStr">
        <is>
          <t>Kopi Arabika</t>
        </is>
      </c>
      <c r="F29" s="136" t="n">
        <v>18.88</v>
      </c>
      <c r="G29" s="136" t="n">
        <v>40.63</v>
      </c>
      <c r="H29" s="136" t="n">
        <v>2.92</v>
      </c>
      <c r="I29" s="87" t="n"/>
      <c r="J29" s="87">
        <f>SUM(F29:H29)</f>
        <v/>
      </c>
      <c r="K29" s="136" t="n">
        <v>28526.1</v>
      </c>
      <c r="L29" s="137" t="n">
        <v>103</v>
      </c>
      <c r="M29" s="20" t="n"/>
    </row>
    <row r="30" ht="17.25" customHeight="1">
      <c r="A30" s="21" t="n"/>
      <c r="B30" s="22" t="n"/>
      <c r="C30" s="15" t="n">
        <v>25</v>
      </c>
      <c r="D30" s="23" t="inlineStr">
        <is>
          <t>Tunyang</t>
        </is>
      </c>
      <c r="E30" s="24" t="inlineStr">
        <is>
          <t>Kopi Arabika</t>
        </is>
      </c>
      <c r="F30" s="136" t="n">
        <v>1.05</v>
      </c>
      <c r="G30" s="136" t="n">
        <v>99.20999999999999</v>
      </c>
      <c r="H30" s="136" t="n">
        <v>0</v>
      </c>
      <c r="I30" s="87" t="n"/>
      <c r="J30" s="87">
        <f>SUM(F30:H30)</f>
        <v/>
      </c>
      <c r="K30" s="136" t="n">
        <v>71192.64999999999</v>
      </c>
      <c r="L30" s="137" t="n">
        <v>105</v>
      </c>
      <c r="M30" s="20" t="n"/>
    </row>
    <row r="31" ht="17.25" customHeight="1">
      <c r="A31" s="21" t="n"/>
      <c r="B31" s="22" t="n"/>
      <c r="C31" s="15" t="n">
        <v>26</v>
      </c>
      <c r="D31" s="23" t="inlineStr">
        <is>
          <t>Simpang Layang</t>
        </is>
      </c>
      <c r="E31" s="24" t="inlineStr">
        <is>
          <t>Kopi Arabika</t>
        </is>
      </c>
      <c r="F31" s="136" t="n">
        <v>0</v>
      </c>
      <c r="G31" s="136" t="n">
        <v>16.62</v>
      </c>
      <c r="H31" s="136" t="n">
        <v>0</v>
      </c>
      <c r="I31" s="87" t="n"/>
      <c r="J31" s="87">
        <f>SUM(F31:H31)</f>
        <v/>
      </c>
      <c r="K31" s="136" t="n">
        <v>11470.67</v>
      </c>
      <c r="L31" s="137" t="n">
        <v>182</v>
      </c>
      <c r="M31" s="20" t="n"/>
    </row>
    <row r="32" ht="17.25" customHeight="1">
      <c r="A32" s="21" t="n"/>
      <c r="B32" s="22" t="n"/>
      <c r="C32" s="15" t="n">
        <v>27</v>
      </c>
      <c r="D32" s="23" t="inlineStr">
        <is>
          <t>Blang Rongka</t>
        </is>
      </c>
      <c r="E32" s="24" t="inlineStr">
        <is>
          <t>Kopi Arabika</t>
        </is>
      </c>
      <c r="F32" s="136" t="n">
        <v>0</v>
      </c>
      <c r="G32" s="136" t="n">
        <v>53.16</v>
      </c>
      <c r="H32" s="136" t="n">
        <v>44.79</v>
      </c>
      <c r="I32" s="87" t="n"/>
      <c r="J32" s="87">
        <f>SUM(F32:H32)</f>
        <v/>
      </c>
      <c r="K32" s="136" t="n">
        <v>43772.86</v>
      </c>
      <c r="L32" s="137" t="n">
        <v>176</v>
      </c>
      <c r="M32" s="20" t="n"/>
    </row>
    <row r="33" ht="17.25" customHeight="1">
      <c r="A33" s="21" t="n"/>
      <c r="B33" s="22" t="n"/>
      <c r="C33" s="15" t="n">
        <v>28</v>
      </c>
      <c r="D33" s="25" t="inlineStr">
        <is>
          <t>Setie</t>
        </is>
      </c>
      <c r="E33" s="24" t="inlineStr">
        <is>
          <t>Kopi Arabika</t>
        </is>
      </c>
      <c r="F33" s="136" t="n">
        <v>9.41</v>
      </c>
      <c r="G33" s="136" t="n">
        <v>22.18</v>
      </c>
      <c r="H33" s="136" t="n">
        <v>7.39</v>
      </c>
      <c r="I33" s="87" t="n"/>
      <c r="J33" s="87">
        <f>SUM(F33:H33)</f>
        <v/>
      </c>
      <c r="K33" s="136" t="n">
        <v>17018.61</v>
      </c>
      <c r="L33" s="138" t="n">
        <v>13</v>
      </c>
      <c r="M33" s="20" t="n"/>
    </row>
    <row r="34" ht="17.25" customHeight="1">
      <c r="A34" s="21" t="n"/>
      <c r="B34" s="22" t="n"/>
      <c r="C34" s="15" t="n">
        <v>29</v>
      </c>
      <c r="D34" s="23" t="inlineStr">
        <is>
          <t>Cekal Baru</t>
        </is>
      </c>
      <c r="E34" s="24" t="inlineStr">
        <is>
          <t>Kopi Arabika</t>
        </is>
      </c>
      <c r="F34" s="136" t="n">
        <v>0</v>
      </c>
      <c r="G34" s="136" t="n">
        <v>79.01000000000001</v>
      </c>
      <c r="H34" s="136" t="n">
        <v>127.4</v>
      </c>
      <c r="I34" s="87" t="n"/>
      <c r="J34" s="87">
        <f>SUM(F34:H34)</f>
        <v/>
      </c>
      <c r="K34" s="136" t="n">
        <v>61823.05</v>
      </c>
      <c r="L34" s="137" t="n">
        <v>391</v>
      </c>
      <c r="M34" s="20" t="n"/>
    </row>
    <row r="35" ht="17.25" customHeight="1">
      <c r="A35" s="21" t="n"/>
      <c r="B35" s="22" t="n"/>
      <c r="C35" s="15" t="n">
        <v>30</v>
      </c>
      <c r="D35" s="23" t="inlineStr">
        <is>
          <t>Pantan Kemuning</t>
        </is>
      </c>
      <c r="E35" s="24" t="inlineStr">
        <is>
          <t>Kopi Arabika</t>
        </is>
      </c>
      <c r="F35" s="136" t="n">
        <v>20.55</v>
      </c>
      <c r="G35" s="139" t="n">
        <v>57.43</v>
      </c>
      <c r="H35" s="136" t="n">
        <v>25.34</v>
      </c>
      <c r="I35" s="87" t="n"/>
      <c r="J35" s="87">
        <f>SUM(F35:H35)</f>
        <v/>
      </c>
      <c r="K35" s="136" t="n">
        <v>41632.65</v>
      </c>
      <c r="L35" s="137" t="n">
        <v>141</v>
      </c>
      <c r="M35" s="20" t="n"/>
      <c r="N35" s="28" t="n"/>
    </row>
    <row r="36" ht="17.25" customHeight="1">
      <c r="A36" s="125" t="inlineStr">
        <is>
          <t>Jumlah</t>
        </is>
      </c>
      <c r="B36" s="140" t="n"/>
      <c r="C36" s="140" t="n"/>
      <c r="D36" s="135" t="n"/>
      <c r="E36" s="126" t="n"/>
      <c r="F36" s="30">
        <f>SUM(F6:F35)</f>
        <v/>
      </c>
      <c r="G36" s="30">
        <f>SUM(G6:G35)</f>
        <v/>
      </c>
      <c r="H36" s="30">
        <f>SUM(H6:H35)</f>
        <v/>
      </c>
      <c r="I36" s="30" t="n"/>
      <c r="J36" s="31">
        <f>SUM(J6:J35)</f>
        <v/>
      </c>
      <c r="K36" s="30">
        <f>SUM(K6:K35)</f>
        <v/>
      </c>
      <c r="L36" s="30">
        <f>SUM(L6:L35)</f>
        <v/>
      </c>
      <c r="M36" s="32" t="n"/>
      <c r="N36" s="141" t="n"/>
      <c r="O36" s="142" t="n"/>
    </row>
    <row r="37" ht="17.25" customHeight="1">
      <c r="A37" s="35" t="inlineStr">
        <is>
          <t>II.</t>
        </is>
      </c>
      <c r="B37" s="36" t="inlineStr">
        <is>
          <t>Permata</t>
        </is>
      </c>
      <c r="C37" s="15" t="n">
        <v>31</v>
      </c>
      <c r="D37" s="37" t="inlineStr">
        <is>
          <t>Buntul Peteri</t>
        </is>
      </c>
      <c r="E37" s="24" t="inlineStr">
        <is>
          <t>Kopi Arabika</t>
        </is>
      </c>
      <c r="F37" s="143" t="n">
        <v>39.34</v>
      </c>
      <c r="G37" s="143" t="n">
        <v>501.58</v>
      </c>
      <c r="H37" s="143" t="n">
        <v>30.07</v>
      </c>
      <c r="I37" s="39">
        <f>SUM(F37:H37)</f>
        <v/>
      </c>
      <c r="J37" s="39">
        <f>SUM(F37:H37)</f>
        <v/>
      </c>
      <c r="K37" s="144" t="n">
        <v>372294.3</v>
      </c>
      <c r="L37" s="145" t="n">
        <v>294</v>
      </c>
      <c r="M37" s="42" t="n"/>
      <c r="N37" s="1" t="n"/>
    </row>
    <row r="38" ht="17.25" customHeight="1">
      <c r="A38" s="35" t="n"/>
      <c r="B38" s="43" t="n"/>
      <c r="C38" s="15" t="n">
        <v>32</v>
      </c>
      <c r="D38" s="37" t="inlineStr">
        <is>
          <t>Bale Musara</t>
        </is>
      </c>
      <c r="E38" s="24" t="inlineStr">
        <is>
          <t>Kopi Arabika</t>
        </is>
      </c>
      <c r="F38" s="143" t="n">
        <v>10.96</v>
      </c>
      <c r="G38" s="143" t="n">
        <v>210.94</v>
      </c>
      <c r="H38" s="143" t="n">
        <v>24.07</v>
      </c>
      <c r="I38" s="39">
        <f>SUM(F38:H38)</f>
        <v/>
      </c>
      <c r="J38" s="39">
        <f>SUM(F38:H38)</f>
        <v/>
      </c>
      <c r="K38" s="143" t="n">
        <v>157617.97</v>
      </c>
      <c r="L38" s="145" t="n">
        <v>137</v>
      </c>
      <c r="M38" s="42" t="n"/>
      <c r="N38" s="1" t="n"/>
    </row>
    <row r="39" ht="17.25" customHeight="1">
      <c r="A39" s="35" t="n"/>
      <c r="B39" s="43" t="n"/>
      <c r="C39" s="15" t="n">
        <v>33</v>
      </c>
      <c r="D39" s="37" t="inlineStr">
        <is>
          <t>Jungke</t>
        </is>
      </c>
      <c r="E39" s="24" t="inlineStr">
        <is>
          <t>Kopi Arabika</t>
        </is>
      </c>
      <c r="F39" s="146" t="n">
        <v>11.28</v>
      </c>
      <c r="G39" s="146" t="n">
        <v>346.55</v>
      </c>
      <c r="H39" s="146" t="n">
        <v>8.94</v>
      </c>
      <c r="I39" s="39">
        <f>SUM(F39:H39)</f>
        <v/>
      </c>
      <c r="J39" s="39">
        <f>SUM(F39:H39)</f>
        <v/>
      </c>
      <c r="K39" s="146" t="n">
        <v>260845.79</v>
      </c>
      <c r="L39" s="147" t="n">
        <v>220</v>
      </c>
      <c r="M39" s="42" t="n"/>
      <c r="N39" s="1" t="n"/>
    </row>
    <row r="40" ht="17.25" customHeight="1">
      <c r="A40" s="35" t="n"/>
      <c r="B40" s="43" t="n"/>
      <c r="C40" s="15" t="n">
        <v>34</v>
      </c>
      <c r="D40" s="37" t="inlineStr">
        <is>
          <t>Kepies</t>
        </is>
      </c>
      <c r="E40" s="24" t="inlineStr">
        <is>
          <t>Kopi Arabika</t>
        </is>
      </c>
      <c r="F40" s="146" t="n">
        <v>21.59</v>
      </c>
      <c r="G40" s="146" t="n">
        <v>135.16</v>
      </c>
      <c r="H40" s="146" t="n">
        <v>14.66</v>
      </c>
      <c r="I40" s="39">
        <f>SUM(F40:H40)</f>
        <v/>
      </c>
      <c r="J40" s="39">
        <f>SUM(F40:H40)</f>
        <v/>
      </c>
      <c r="K40" s="146" t="n">
        <v>93671.63</v>
      </c>
      <c r="L40" s="147" t="n">
        <v>199</v>
      </c>
      <c r="M40" s="42" t="n"/>
      <c r="N40" s="1" t="n"/>
    </row>
    <row r="41" ht="17.25" customHeight="1">
      <c r="A41" s="35" t="n"/>
      <c r="B41" s="43" t="n"/>
      <c r="C41" s="15" t="n">
        <v>35</v>
      </c>
      <c r="D41" s="46" t="inlineStr">
        <is>
          <t>Seni Antara</t>
        </is>
      </c>
      <c r="E41" s="24" t="inlineStr">
        <is>
          <t>Kopi Arabika</t>
        </is>
      </c>
      <c r="F41" s="146" t="n">
        <v>214.94</v>
      </c>
      <c r="G41" s="146" t="n">
        <v>866.8200000000001</v>
      </c>
      <c r="H41" s="146" t="n">
        <v>109.28</v>
      </c>
      <c r="I41" s="39">
        <f>SUM(F41:H41)</f>
        <v/>
      </c>
      <c r="J41" s="39">
        <f>SUM(F41:H41)</f>
        <v/>
      </c>
      <c r="K41" s="146" t="n">
        <v>613284.3199999999</v>
      </c>
      <c r="L41" s="147" t="n">
        <v>1991</v>
      </c>
      <c r="M41" s="42" t="n"/>
      <c r="N41" s="1" t="n"/>
    </row>
    <row r="42" ht="17.25" customHeight="1">
      <c r="A42" s="35" t="n"/>
      <c r="B42" s="43" t="n"/>
      <c r="C42" s="15" t="n">
        <v>36</v>
      </c>
      <c r="D42" s="37" t="inlineStr">
        <is>
          <t>Pantan Tengah Jaya</t>
        </is>
      </c>
      <c r="E42" s="24" t="inlineStr">
        <is>
          <t>Kopi Arabika</t>
        </is>
      </c>
      <c r="F42" s="143" t="n">
        <v>53.56</v>
      </c>
      <c r="G42" s="143" t="n">
        <v>538.1900000000001</v>
      </c>
      <c r="H42" s="143" t="n">
        <v>269.5</v>
      </c>
      <c r="I42" s="39">
        <f>SUM(F42:H42)</f>
        <v/>
      </c>
      <c r="J42" s="39">
        <f>SUM(F42:H42)</f>
        <v/>
      </c>
      <c r="K42" s="146" t="n">
        <v>411542.06</v>
      </c>
      <c r="L42" s="148" t="n">
        <v>566</v>
      </c>
      <c r="M42" s="42" t="n"/>
      <c r="N42" s="1" t="n"/>
    </row>
    <row r="43" ht="17.25" customHeight="1">
      <c r="A43" s="35" t="n"/>
      <c r="B43" s="43" t="n"/>
      <c r="C43" s="15" t="n">
        <v>37</v>
      </c>
      <c r="D43" s="37" t="inlineStr">
        <is>
          <t>Ayu Ara</t>
        </is>
      </c>
      <c r="E43" s="24" t="inlineStr">
        <is>
          <t>Kopi Arabika</t>
        </is>
      </c>
      <c r="F43" s="143" t="n">
        <v>22.49</v>
      </c>
      <c r="G43" s="143" t="n">
        <v>181.57</v>
      </c>
      <c r="H43" s="143" t="n">
        <v>111.9</v>
      </c>
      <c r="I43" s="39">
        <f>SUM(F43:H43)</f>
        <v/>
      </c>
      <c r="J43" s="39">
        <f>SUM(F43:H43)</f>
        <v/>
      </c>
      <c r="K43" s="146" t="n">
        <v>129720.42</v>
      </c>
      <c r="L43" s="148" t="n">
        <v>56</v>
      </c>
      <c r="M43" s="42" t="n"/>
      <c r="N43" s="1" t="n"/>
    </row>
    <row r="44" ht="17.25" customHeight="1">
      <c r="A44" s="35" t="n"/>
      <c r="B44" s="43" t="n"/>
      <c r="C44" s="15" t="n">
        <v>38</v>
      </c>
      <c r="D44" s="37" t="inlineStr">
        <is>
          <t>Rikit Musara</t>
        </is>
      </c>
      <c r="E44" s="24" t="inlineStr">
        <is>
          <t>Kopi Arabika</t>
        </is>
      </c>
      <c r="F44" s="143" t="n">
        <v>80.2</v>
      </c>
      <c r="G44" s="143" t="n">
        <v>429.5</v>
      </c>
      <c r="H44" s="143" t="n">
        <v>80.03</v>
      </c>
      <c r="I44" s="39">
        <f>SUM(F44:H44)</f>
        <v/>
      </c>
      <c r="J44" s="39">
        <f>SUM(F44:H44)</f>
        <v/>
      </c>
      <c r="K44" s="146" t="n">
        <v>309956.68</v>
      </c>
      <c r="L44" s="148" t="n">
        <v>138</v>
      </c>
      <c r="M44" s="42" t="n"/>
      <c r="N44" s="1" t="n"/>
    </row>
    <row r="45" ht="17.25" customHeight="1">
      <c r="A45" s="35" t="n"/>
      <c r="B45" s="43" t="n"/>
      <c r="C45" s="15" t="n">
        <v>39</v>
      </c>
      <c r="D45" s="48" t="inlineStr">
        <is>
          <t>Suku Sara Tangke</t>
        </is>
      </c>
      <c r="E45" s="24" t="inlineStr">
        <is>
          <t>Kopi Arabika</t>
        </is>
      </c>
      <c r="F45" s="149" t="n">
        <v>27.97</v>
      </c>
      <c r="G45" s="149" t="n">
        <v>307.44</v>
      </c>
      <c r="H45" s="149" t="n">
        <v>96.95</v>
      </c>
      <c r="I45" s="39">
        <f>SUM(F45:H45)</f>
        <v/>
      </c>
      <c r="J45" s="39">
        <f>SUM(F45:H45)</f>
        <v/>
      </c>
      <c r="K45" s="149" t="n">
        <v>225054.54</v>
      </c>
      <c r="L45" s="148" t="n">
        <v>242</v>
      </c>
      <c r="M45" s="42" t="n"/>
      <c r="N45" s="1" t="n"/>
    </row>
    <row r="46" ht="17.25" customHeight="1">
      <c r="A46" s="35" t="n"/>
      <c r="B46" s="43" t="n"/>
      <c r="C46" s="15" t="n">
        <v>40</v>
      </c>
      <c r="D46" s="50" t="inlineStr">
        <is>
          <t>Ramung Jaya</t>
        </is>
      </c>
      <c r="E46" s="24" t="inlineStr">
        <is>
          <t>Kopi Arabika</t>
        </is>
      </c>
      <c r="F46" s="143" t="n">
        <v>0</v>
      </c>
      <c r="G46" s="143" t="n">
        <v>218.03</v>
      </c>
      <c r="H46" s="143" t="n">
        <v>10.9</v>
      </c>
      <c r="I46" s="39">
        <f>SUM(F46:H46)</f>
        <v/>
      </c>
      <c r="J46" s="39">
        <f>SUM(F46:H46)</f>
        <v/>
      </c>
      <c r="K46" s="143" t="n">
        <v>154811.42</v>
      </c>
      <c r="L46" s="148" t="n">
        <v>257</v>
      </c>
      <c r="M46" s="42" t="n"/>
      <c r="N46" s="1" t="n"/>
    </row>
    <row r="47" ht="17.25" customHeight="1">
      <c r="A47" s="35" t="n"/>
      <c r="B47" s="43" t="n"/>
      <c r="C47" s="15" t="n">
        <v>41</v>
      </c>
      <c r="D47" s="48" t="inlineStr">
        <is>
          <t>Timur Jaya</t>
        </is>
      </c>
      <c r="E47" s="24" t="inlineStr">
        <is>
          <t>Kopi Arabika</t>
        </is>
      </c>
      <c r="F47" s="149" t="n">
        <v>83.48999999999999</v>
      </c>
      <c r="G47" s="149" t="n">
        <v>424.21</v>
      </c>
      <c r="H47" s="149" t="n">
        <v>226.5</v>
      </c>
      <c r="I47" s="39">
        <f>SUM(F47:H47)</f>
        <v/>
      </c>
      <c r="J47" s="39">
        <f>SUM(F47:H47)</f>
        <v/>
      </c>
      <c r="K47" s="149" t="n">
        <v>303856.62</v>
      </c>
      <c r="L47" s="148" t="n">
        <v>166</v>
      </c>
      <c r="M47" s="42" t="n"/>
      <c r="N47" s="1" t="n"/>
    </row>
    <row r="48" ht="17.25" customHeight="1">
      <c r="A48" s="35" t="n"/>
      <c r="B48" s="43" t="n"/>
      <c r="C48" s="15" t="n">
        <v>42</v>
      </c>
      <c r="D48" s="50" t="inlineStr">
        <is>
          <t>Ceding Ayu</t>
        </is>
      </c>
      <c r="E48" s="24" t="inlineStr">
        <is>
          <t>Kopi Arabika</t>
        </is>
      </c>
      <c r="F48" s="143" t="n">
        <v>4.37</v>
      </c>
      <c r="G48" s="143" t="n">
        <v>126.59</v>
      </c>
      <c r="H48" s="143" t="n">
        <v>6.53</v>
      </c>
      <c r="I48" s="39">
        <f>SUM(F48:H48)</f>
        <v/>
      </c>
      <c r="J48" s="39">
        <f>SUM(F48:H48)</f>
        <v/>
      </c>
      <c r="K48" s="143" t="n">
        <v>96389.35000000001</v>
      </c>
      <c r="L48" s="148" t="n">
        <v>57</v>
      </c>
      <c r="M48" s="42" t="n"/>
      <c r="N48" s="1" t="n"/>
    </row>
    <row r="49" ht="17.25" customHeight="1">
      <c r="A49" s="35" t="n"/>
      <c r="B49" s="43" t="n"/>
      <c r="C49" s="15" t="n">
        <v>43</v>
      </c>
      <c r="D49" s="37" t="inlineStr">
        <is>
          <t>Darul Aman</t>
        </is>
      </c>
      <c r="E49" s="24" t="inlineStr">
        <is>
          <t>Kopi Arabika</t>
        </is>
      </c>
      <c r="F49" s="143" t="n">
        <v>2.15</v>
      </c>
      <c r="G49" s="143" t="n">
        <v>116.44</v>
      </c>
      <c r="H49" s="143" t="n">
        <v>6.48</v>
      </c>
      <c r="I49" s="39">
        <f>SUM(F49:H49)</f>
        <v/>
      </c>
      <c r="J49" s="39">
        <f>SUM(F49:H49)</f>
        <v/>
      </c>
      <c r="K49" s="143" t="n">
        <v>82788.17</v>
      </c>
      <c r="L49" s="147" t="n">
        <v>247</v>
      </c>
      <c r="M49" s="42" t="n"/>
      <c r="N49" s="1" t="n"/>
    </row>
    <row r="50" ht="17.25" customHeight="1">
      <c r="A50" s="35" t="n"/>
      <c r="B50" s="43" t="n"/>
      <c r="C50" s="15" t="n">
        <v>44</v>
      </c>
      <c r="D50" s="37" t="inlineStr">
        <is>
          <t>Burni Pase</t>
        </is>
      </c>
      <c r="E50" s="24" t="inlineStr">
        <is>
          <t>Kopi Arabika</t>
        </is>
      </c>
      <c r="F50" s="146" t="n">
        <v>27.65</v>
      </c>
      <c r="G50" s="146" t="n">
        <v>429.16</v>
      </c>
      <c r="H50" s="146" t="n">
        <v>23.86</v>
      </c>
      <c r="I50" s="39">
        <f>SUM(F50:H50)</f>
        <v/>
      </c>
      <c r="J50" s="39">
        <f>SUM(F50:H50)</f>
        <v/>
      </c>
      <c r="K50" s="146" t="n">
        <v>313597.05</v>
      </c>
      <c r="L50" s="147" t="n">
        <v>344</v>
      </c>
      <c r="M50" s="42" t="n"/>
      <c r="N50" s="1" t="n"/>
    </row>
    <row r="51" ht="17.25" customHeight="1">
      <c r="A51" s="35" t="n"/>
      <c r="B51" s="43" t="n"/>
      <c r="C51" s="15" t="n">
        <v>45</v>
      </c>
      <c r="D51" s="51" t="inlineStr">
        <is>
          <t>Wih Tenang Uken</t>
        </is>
      </c>
      <c r="E51" s="24" t="inlineStr">
        <is>
          <t>Kopi Arabika</t>
        </is>
      </c>
      <c r="F51" s="150" t="n">
        <v>12.84</v>
      </c>
      <c r="G51" s="150" t="n">
        <v>1273.26</v>
      </c>
      <c r="H51" s="150" t="n">
        <v>8.56</v>
      </c>
      <c r="I51" s="39">
        <f>SUM(F51:H51)</f>
        <v/>
      </c>
      <c r="J51" s="39">
        <f>SUM(F51:H51)</f>
        <v/>
      </c>
      <c r="K51" s="150" t="n">
        <v>890262.3</v>
      </c>
      <c r="L51" s="147" t="n">
        <v>1507</v>
      </c>
      <c r="M51" s="151" t="n"/>
      <c r="N51" s="1" t="n"/>
    </row>
    <row r="52" ht="17.25" customHeight="1">
      <c r="A52" s="35" t="n"/>
      <c r="B52" s="43" t="n"/>
      <c r="C52" s="15" t="n">
        <v>46</v>
      </c>
      <c r="D52" s="51" t="inlineStr">
        <is>
          <t>Bintang Permata</t>
        </is>
      </c>
      <c r="E52" s="24" t="inlineStr">
        <is>
          <t>Kopi Arabika</t>
        </is>
      </c>
      <c r="F52" s="149" t="n">
        <v>31.79</v>
      </c>
      <c r="G52" s="149" t="n">
        <v>320.86</v>
      </c>
      <c r="H52" s="149" t="n">
        <v>75.84</v>
      </c>
      <c r="I52" s="39">
        <f>SUM(F52:H52)</f>
        <v/>
      </c>
      <c r="J52" s="39">
        <f>SUM(F52:H52)</f>
        <v/>
      </c>
      <c r="K52" s="150" t="n">
        <v>236811.57</v>
      </c>
      <c r="L52" s="148" t="n">
        <v>854</v>
      </c>
      <c r="M52" s="42" t="n"/>
      <c r="N52" s="1" t="n"/>
    </row>
    <row r="53" ht="17.25" customHeight="1">
      <c r="A53" s="35" t="n"/>
      <c r="B53" s="43" t="n"/>
      <c r="C53" s="15" t="n">
        <v>47</v>
      </c>
      <c r="D53" s="37" t="inlineStr">
        <is>
          <t>Uning Sejuk</t>
        </is>
      </c>
      <c r="E53" s="24" t="inlineStr">
        <is>
          <t>Kopi Arabika</t>
        </is>
      </c>
      <c r="F53" s="143" t="n">
        <v>6.7</v>
      </c>
      <c r="G53" s="143" t="n">
        <v>128.16</v>
      </c>
      <c r="H53" s="143" t="n">
        <v>7.8</v>
      </c>
      <c r="I53" s="39">
        <f>SUM(F53:H53)</f>
        <v/>
      </c>
      <c r="J53" s="39">
        <f>SUM(F53:H53)</f>
        <v/>
      </c>
      <c r="K53" s="143" t="n">
        <v>92627.8</v>
      </c>
      <c r="L53" s="148" t="n">
        <v>61</v>
      </c>
      <c r="M53" s="42" t="n"/>
      <c r="N53" s="1" t="n"/>
    </row>
    <row r="54" ht="17.25" customHeight="1">
      <c r="A54" s="35" t="n"/>
      <c r="B54" s="43" t="n"/>
      <c r="C54" s="15" t="n">
        <v>48</v>
      </c>
      <c r="D54" s="37" t="inlineStr">
        <is>
          <t>Wih Tenang Toa/Bakongan Baru</t>
        </is>
      </c>
      <c r="E54" s="24" t="inlineStr">
        <is>
          <t>Kopi Arabika</t>
        </is>
      </c>
      <c r="F54" s="143" t="n">
        <v>21.56</v>
      </c>
      <c r="G54" s="143" t="n">
        <v>102.35</v>
      </c>
      <c r="H54" s="143" t="n">
        <v>10.76</v>
      </c>
      <c r="I54" s="39">
        <f>SUM(F54:H54)</f>
        <v/>
      </c>
      <c r="J54" s="39">
        <f>SUM(F54:H54)</f>
        <v/>
      </c>
      <c r="K54" s="143" t="n">
        <v>73950.98</v>
      </c>
      <c r="L54" s="148" t="n">
        <v>106</v>
      </c>
      <c r="M54" s="42" t="n"/>
      <c r="N54" s="1" t="n"/>
    </row>
    <row r="55" ht="17.25" customHeight="1">
      <c r="A55" s="35" t="n"/>
      <c r="B55" s="43" t="n"/>
      <c r="C55" s="15" t="n">
        <v>49</v>
      </c>
      <c r="D55" s="37" t="inlineStr">
        <is>
          <t>Jelobok</t>
        </is>
      </c>
      <c r="E55" s="24" t="inlineStr">
        <is>
          <t>Kopi Arabika</t>
        </is>
      </c>
      <c r="F55" s="143" t="n">
        <v>13.64</v>
      </c>
      <c r="G55" s="143" t="n">
        <v>406</v>
      </c>
      <c r="H55" s="143" t="n">
        <v>11.37</v>
      </c>
      <c r="I55" s="39">
        <f>SUM(F55:H55)</f>
        <v/>
      </c>
      <c r="J55" s="39">
        <f>SUM(F55:H55)</f>
        <v/>
      </c>
      <c r="K55" s="143" t="n">
        <v>296306.73</v>
      </c>
      <c r="L55" s="148" t="n">
        <v>314</v>
      </c>
      <c r="M55" s="42" t="n"/>
      <c r="N55" s="1" t="n"/>
    </row>
    <row r="56" ht="17.25" customHeight="1">
      <c r="A56" s="35" t="n"/>
      <c r="B56" s="43" t="n"/>
      <c r="C56" s="15" t="n">
        <v>50</v>
      </c>
      <c r="D56" s="37" t="inlineStr">
        <is>
          <t>Penosan Jaya</t>
        </is>
      </c>
      <c r="E56" s="24" t="inlineStr">
        <is>
          <t>Kopi Arabika</t>
        </is>
      </c>
      <c r="F56" s="143" t="n">
        <v>128.6</v>
      </c>
      <c r="G56" s="143" t="n">
        <v>551.65</v>
      </c>
      <c r="H56" s="143" t="n">
        <v>137.28</v>
      </c>
      <c r="I56" s="39">
        <f>SUM(F56:H56)</f>
        <v/>
      </c>
      <c r="J56" s="39">
        <f>SUM(F56:H56)</f>
        <v/>
      </c>
      <c r="K56" s="143" t="n">
        <v>418403.95</v>
      </c>
      <c r="L56" s="148" t="n">
        <v>449</v>
      </c>
      <c r="M56" s="42" t="n"/>
      <c r="N56" s="1" t="n"/>
    </row>
    <row r="57" ht="17.25" customHeight="1">
      <c r="A57" s="35" t="n"/>
      <c r="B57" s="43" t="n"/>
      <c r="C57" s="15" t="n">
        <v>51</v>
      </c>
      <c r="D57" s="48" t="inlineStr">
        <is>
          <t>Bener Pepanyi</t>
        </is>
      </c>
      <c r="E57" s="24" t="inlineStr">
        <is>
          <t>Kopi Arabika</t>
        </is>
      </c>
      <c r="F57" s="149" t="n">
        <v>5.27</v>
      </c>
      <c r="G57" s="149" t="n">
        <v>265.75</v>
      </c>
      <c r="H57" s="149" t="n">
        <v>16.39</v>
      </c>
      <c r="I57" s="39">
        <f>SUM(F57:H57)</f>
        <v/>
      </c>
      <c r="J57" s="39">
        <f>SUM(F57:H57)</f>
        <v/>
      </c>
      <c r="K57" s="149" t="n">
        <v>197939.35</v>
      </c>
      <c r="L57" s="148" t="n">
        <v>369</v>
      </c>
      <c r="M57" s="42" t="n"/>
      <c r="N57" s="1" t="n"/>
    </row>
    <row r="58" ht="17.25" customHeight="1">
      <c r="A58" s="35" t="n"/>
      <c r="B58" s="43" t="n"/>
      <c r="C58" s="15" t="n">
        <v>52</v>
      </c>
      <c r="D58" s="48" t="inlineStr">
        <is>
          <t>Bintang Bener</t>
        </is>
      </c>
      <c r="E58" s="24" t="inlineStr">
        <is>
          <t>Kopi Arabika</t>
        </is>
      </c>
      <c r="F58" s="149" t="n">
        <v>51.66</v>
      </c>
      <c r="G58" s="149" t="n">
        <v>540.23</v>
      </c>
      <c r="H58" s="149" t="n">
        <v>80.29000000000001</v>
      </c>
      <c r="I58" s="39">
        <f>SUM(F58:H58)</f>
        <v/>
      </c>
      <c r="J58" s="39">
        <f>SUM(F58:H58)</f>
        <v/>
      </c>
      <c r="K58" s="149" t="n">
        <v>397477.43</v>
      </c>
      <c r="L58" s="148" t="n">
        <v>437</v>
      </c>
      <c r="M58" s="42" t="n"/>
      <c r="N58" s="1" t="n"/>
    </row>
    <row r="59" ht="17.25" customHeight="1">
      <c r="A59" s="35" t="n"/>
      <c r="B59" s="43" t="n"/>
      <c r="C59" s="15" t="n">
        <v>53</v>
      </c>
      <c r="D59" s="50" t="inlineStr">
        <is>
          <t>Pemango</t>
        </is>
      </c>
      <c r="E59" s="24" t="inlineStr">
        <is>
          <t>Kopi Arabika</t>
        </is>
      </c>
      <c r="F59" s="143" t="n">
        <v>9.85</v>
      </c>
      <c r="G59" s="143" t="n">
        <v>60.49</v>
      </c>
      <c r="H59" s="143" t="n">
        <v>39.95</v>
      </c>
      <c r="I59" s="39">
        <f>SUM(F59:H59)</f>
        <v/>
      </c>
      <c r="J59" s="39">
        <f>SUM(F59:H59)</f>
        <v/>
      </c>
      <c r="K59" s="143" t="n">
        <v>45066.64</v>
      </c>
      <c r="L59" s="148" t="n">
        <v>150</v>
      </c>
      <c r="M59" s="42" t="n"/>
      <c r="N59" s="1" t="n"/>
    </row>
    <row r="60" ht="17.25" customHeight="1">
      <c r="A60" s="35" t="n"/>
      <c r="B60" s="43" t="n"/>
      <c r="C60" s="15" t="n">
        <v>54</v>
      </c>
      <c r="D60" s="50" t="inlineStr">
        <is>
          <t>Gelampang Wih Tenang Uken</t>
        </is>
      </c>
      <c r="E60" s="24" t="inlineStr">
        <is>
          <t>Kopi Arabika</t>
        </is>
      </c>
      <c r="F60" s="143" t="n">
        <v>8.73</v>
      </c>
      <c r="G60" s="143" t="n">
        <v>130.13</v>
      </c>
      <c r="H60" s="143" t="n">
        <v>35.12</v>
      </c>
      <c r="I60" s="39">
        <f>SUM(F60:H60)</f>
        <v/>
      </c>
      <c r="J60" s="39">
        <f>SUM(F60:H60)</f>
        <v/>
      </c>
      <c r="K60" s="143" t="n">
        <v>94875.78999999999</v>
      </c>
      <c r="L60" s="148" t="n">
        <v>544</v>
      </c>
      <c r="M60" s="42" t="n"/>
      <c r="N60" s="1" t="n"/>
    </row>
    <row r="61" ht="17.25" customHeight="1">
      <c r="A61" s="35" t="n"/>
      <c r="B61" s="43" t="n"/>
      <c r="C61" s="15" t="n">
        <v>55</v>
      </c>
      <c r="D61" s="50" t="inlineStr">
        <is>
          <t>Bale Purnama</t>
        </is>
      </c>
      <c r="E61" s="24" t="inlineStr">
        <is>
          <t>Kopi Arabika</t>
        </is>
      </c>
      <c r="F61" s="143" t="n">
        <v>40.86</v>
      </c>
      <c r="G61" s="143" t="n">
        <v>276.27</v>
      </c>
      <c r="H61" s="143" t="n">
        <v>81.17</v>
      </c>
      <c r="I61" s="39">
        <f>SUM(F61:H61)</f>
        <v/>
      </c>
      <c r="J61" s="39">
        <f>SUM(F61:H61)</f>
        <v/>
      </c>
      <c r="K61" s="143" t="n">
        <v>211291.53</v>
      </c>
      <c r="L61" s="148" t="n">
        <v>66</v>
      </c>
      <c r="M61" s="42" t="n"/>
      <c r="N61" s="1" t="n"/>
    </row>
    <row r="62" ht="17.25" customHeight="1">
      <c r="A62" s="35" t="n"/>
      <c r="B62" s="43" t="n"/>
      <c r="C62" s="15" t="n">
        <v>56</v>
      </c>
      <c r="D62" s="51" t="inlineStr">
        <is>
          <t>Temas Mumanang</t>
        </is>
      </c>
      <c r="E62" s="24" t="inlineStr">
        <is>
          <t>Kopi Arabika</t>
        </is>
      </c>
      <c r="F62" s="149" t="n">
        <v>225.9</v>
      </c>
      <c r="G62" s="149" t="n">
        <v>560.0599999999999</v>
      </c>
      <c r="H62" s="149" t="n">
        <v>55.37</v>
      </c>
      <c r="I62" s="39">
        <f>SUM(F62:H62)</f>
        <v/>
      </c>
      <c r="J62" s="39">
        <f>SUM(F62:H62)</f>
        <v/>
      </c>
      <c r="K62" s="149" t="n">
        <v>402251.16</v>
      </c>
      <c r="L62" s="148" t="n">
        <v>494</v>
      </c>
      <c r="M62" s="42" t="n"/>
      <c r="N62" s="1" t="n"/>
    </row>
    <row r="63" ht="17.25" customHeight="1">
      <c r="A63" s="35" t="n"/>
      <c r="B63" s="43" t="n"/>
      <c r="C63" s="15" t="n">
        <v>57</v>
      </c>
      <c r="D63" s="51" t="inlineStr">
        <is>
          <t>Tawar Bengi</t>
        </is>
      </c>
      <c r="E63" s="24" t="inlineStr">
        <is>
          <t>Kopi Arabika</t>
        </is>
      </c>
      <c r="F63" s="149" t="n">
        <v>11.04</v>
      </c>
      <c r="G63" s="149" t="n">
        <v>165.38</v>
      </c>
      <c r="H63" s="149" t="n">
        <v>21.93</v>
      </c>
      <c r="I63" s="39">
        <f>SUM(F63:H63)</f>
        <v/>
      </c>
      <c r="J63" s="39">
        <f>SUM(F63:H63)</f>
        <v/>
      </c>
      <c r="K63" s="149" t="n">
        <v>117190.67</v>
      </c>
      <c r="L63" s="148" t="n">
        <v>191</v>
      </c>
      <c r="M63" s="42" t="n"/>
      <c r="N63" s="1" t="n"/>
    </row>
    <row r="64" ht="17.25" customHeight="1">
      <c r="A64" s="125" t="inlineStr">
        <is>
          <t>Jumlah</t>
        </is>
      </c>
      <c r="B64" s="140" t="n"/>
      <c r="C64" s="140" t="n"/>
      <c r="D64" s="135" t="n"/>
      <c r="E64" s="126" t="n"/>
      <c r="F64" s="30">
        <f>SUM(F37:F63)</f>
        <v/>
      </c>
      <c r="G64" s="30">
        <f>SUM(G37:G63)</f>
        <v/>
      </c>
      <c r="H64" s="30">
        <f>SUM(H37:H63)</f>
        <v/>
      </c>
      <c r="I64" s="30" t="n"/>
      <c r="J64" s="31">
        <f>SUM(J37:J63)</f>
        <v/>
      </c>
      <c r="K64" s="30">
        <f>SUM(K37:K63)</f>
        <v/>
      </c>
      <c r="L64" s="30">
        <f>SUM(L37:L63)</f>
        <v/>
      </c>
      <c r="M64" s="32" t="n"/>
    </row>
    <row r="65" ht="17.25" customHeight="1">
      <c r="A65" s="35" t="inlineStr">
        <is>
          <t>III.</t>
        </is>
      </c>
      <c r="B65" s="36" t="inlineStr">
        <is>
          <t>Mesidah</t>
        </is>
      </c>
      <c r="C65" s="15" t="n">
        <v>58</v>
      </c>
      <c r="D65" s="54" t="inlineStr">
        <is>
          <t>Amor</t>
        </is>
      </c>
      <c r="E65" s="24" t="inlineStr">
        <is>
          <t>Kopi Arabika</t>
        </is>
      </c>
      <c r="F65" s="152" t="n">
        <v>4.38</v>
      </c>
      <c r="G65" s="152" t="n">
        <v>427.73</v>
      </c>
      <c r="H65" s="152" t="n">
        <v>2.19</v>
      </c>
      <c r="I65" s="55" t="n"/>
      <c r="J65" s="38">
        <f>SUM(F65:H65)</f>
        <v/>
      </c>
      <c r="K65" s="143" t="n">
        <v>346658.13</v>
      </c>
      <c r="L65" s="56" t="n">
        <v>222</v>
      </c>
      <c r="M65" s="57" t="n"/>
    </row>
    <row r="66" ht="17.25" customHeight="1">
      <c r="A66" s="35" t="n"/>
      <c r="B66" s="43" t="n"/>
      <c r="C66" s="15" t="n">
        <v>59</v>
      </c>
      <c r="D66" s="54" t="inlineStr">
        <is>
          <t>Buntul Gayo</t>
        </is>
      </c>
      <c r="E66" s="24" t="inlineStr">
        <is>
          <t>Kopi Arabika</t>
        </is>
      </c>
      <c r="F66" s="152" t="n">
        <v>6.34</v>
      </c>
      <c r="G66" s="152" t="n">
        <v>205.52</v>
      </c>
      <c r="H66" s="152" t="n">
        <v>12.44</v>
      </c>
      <c r="I66" s="55" t="n"/>
      <c r="J66" s="38">
        <f>SUM(F66:H66)</f>
        <v/>
      </c>
      <c r="K66" s="143" t="n">
        <v>163863.31</v>
      </c>
      <c r="L66" s="56" t="n">
        <v>157</v>
      </c>
      <c r="M66" s="57" t="n"/>
    </row>
    <row r="67" ht="17.25" customHeight="1">
      <c r="A67" s="35" t="n"/>
      <c r="B67" s="43" t="n"/>
      <c r="C67" s="15" t="n">
        <v>60</v>
      </c>
      <c r="D67" s="54" t="inlineStr">
        <is>
          <t>Weh Resap</t>
        </is>
      </c>
      <c r="E67" s="24" t="inlineStr">
        <is>
          <t>Kopi Arabika</t>
        </is>
      </c>
      <c r="F67" s="152" t="n">
        <v>6.36</v>
      </c>
      <c r="G67" s="152" t="n">
        <v>315.82</v>
      </c>
      <c r="H67" s="152" t="n">
        <v>8.619999999999999</v>
      </c>
      <c r="I67" s="55" t="n"/>
      <c r="J67" s="38">
        <f>SUM(F67:H67)</f>
        <v/>
      </c>
      <c r="K67" s="143" t="n">
        <v>239921.54</v>
      </c>
      <c r="L67" s="56" t="n">
        <v>171</v>
      </c>
      <c r="M67" s="57" t="n"/>
    </row>
    <row r="68" ht="17.25" customHeight="1">
      <c r="A68" s="35" t="n"/>
      <c r="B68" s="43" t="n"/>
      <c r="C68" s="15" t="n">
        <v>61</v>
      </c>
      <c r="D68" s="58" t="inlineStr">
        <is>
          <t>Pantan Kuli</t>
        </is>
      </c>
      <c r="E68" s="24" t="inlineStr">
        <is>
          <t>Kopi Arabika</t>
        </is>
      </c>
      <c r="F68" s="152" t="n">
        <v>8.57</v>
      </c>
      <c r="G68" s="152" t="n">
        <v>384.08</v>
      </c>
      <c r="H68" s="152" t="n">
        <v>21.21</v>
      </c>
      <c r="I68" s="55" t="n"/>
      <c r="J68" s="38">
        <f>SUM(F68:H68)</f>
        <v/>
      </c>
      <c r="K68" s="143" t="n">
        <v>301886.24</v>
      </c>
      <c r="L68" s="56" t="n">
        <v>179</v>
      </c>
      <c r="M68" s="57" t="n"/>
    </row>
    <row r="69" ht="17.25" customHeight="1">
      <c r="A69" s="35" t="n"/>
      <c r="B69" s="43" t="n"/>
      <c r="C69" s="15" t="n">
        <v>62</v>
      </c>
      <c r="D69" s="58" t="inlineStr">
        <is>
          <t>Cemparam Lama</t>
        </is>
      </c>
      <c r="E69" s="24" t="inlineStr">
        <is>
          <t>Kopi Arabika</t>
        </is>
      </c>
      <c r="F69" s="152" t="n">
        <v>7.46</v>
      </c>
      <c r="G69" s="152" t="n">
        <v>238.57</v>
      </c>
      <c r="H69" s="152" t="n">
        <v>8.619999999999999</v>
      </c>
      <c r="I69" s="55" t="n"/>
      <c r="J69" s="38">
        <f>SUM(F69:H69)</f>
        <v/>
      </c>
      <c r="K69" s="143" t="n">
        <v>188169.35</v>
      </c>
      <c r="L69" s="56" t="n">
        <v>237</v>
      </c>
      <c r="M69" s="57" t="n"/>
    </row>
    <row r="70" ht="17.25" customHeight="1">
      <c r="A70" s="35" t="n"/>
      <c r="B70" s="43" t="n"/>
      <c r="C70" s="15" t="n">
        <v>63</v>
      </c>
      <c r="D70" s="58" t="inlineStr">
        <is>
          <t>Cemparam Pakat Jeroh</t>
        </is>
      </c>
      <c r="E70" s="24" t="inlineStr">
        <is>
          <t>Kopi Arabika</t>
        </is>
      </c>
      <c r="F70" s="152" t="n">
        <v>2.04</v>
      </c>
      <c r="G70" s="152" t="n">
        <v>113.79</v>
      </c>
      <c r="H70" s="152" t="n">
        <v>10.18</v>
      </c>
      <c r="I70" s="55" t="n"/>
      <c r="J70" s="38">
        <f>SUM(F70:H70)</f>
        <v/>
      </c>
      <c r="K70" s="143" t="n">
        <v>87319.5</v>
      </c>
      <c r="L70" s="56" t="n">
        <v>202</v>
      </c>
      <c r="M70" s="57" t="n"/>
    </row>
    <row r="71" ht="17.25" customHeight="1">
      <c r="A71" s="35" t="n"/>
      <c r="B71" s="43" t="n"/>
      <c r="C71" s="15" t="n">
        <v>64</v>
      </c>
      <c r="D71" s="58" t="inlineStr">
        <is>
          <t>Cemparam Jaya</t>
        </is>
      </c>
      <c r="E71" s="24" t="inlineStr">
        <is>
          <t>Kopi Arabika</t>
        </is>
      </c>
      <c r="F71" s="152" t="n">
        <v>12.2</v>
      </c>
      <c r="G71" s="152" t="n">
        <v>417.61</v>
      </c>
      <c r="H71" s="152" t="n">
        <v>33.03</v>
      </c>
      <c r="I71" s="55" t="n"/>
      <c r="J71" s="38">
        <f>SUM(F71:H71)</f>
        <v/>
      </c>
      <c r="K71" s="143" t="n">
        <v>342765.08</v>
      </c>
      <c r="L71" s="56" t="n">
        <v>139</v>
      </c>
      <c r="M71" s="57" t="n"/>
    </row>
    <row r="72" ht="17.25" customHeight="1">
      <c r="A72" s="35" t="n"/>
      <c r="B72" s="43" t="n"/>
      <c r="C72" s="15" t="n">
        <v>65</v>
      </c>
      <c r="D72" s="59" t="inlineStr">
        <is>
          <t>Jamur Atu</t>
        </is>
      </c>
      <c r="E72" s="24" t="inlineStr">
        <is>
          <t>Kopi Arabika</t>
        </is>
      </c>
      <c r="F72" s="152" t="n">
        <v>6.5</v>
      </c>
      <c r="G72" s="152" t="n">
        <v>223.68</v>
      </c>
      <c r="H72" s="152" t="n">
        <v>16.45</v>
      </c>
      <c r="I72" s="55" t="n"/>
      <c r="J72" s="38">
        <f>SUM(F72:H72)</f>
        <v/>
      </c>
      <c r="K72" s="143" t="n">
        <v>181460.6</v>
      </c>
      <c r="L72" s="56" t="n">
        <v>288</v>
      </c>
      <c r="M72" s="57" t="n"/>
    </row>
    <row r="73" ht="17.25" customHeight="1">
      <c r="A73" s="35" t="n"/>
      <c r="B73" s="43" t="n"/>
      <c r="C73" s="15" t="n">
        <v>66</v>
      </c>
      <c r="D73" s="59" t="inlineStr">
        <is>
          <t>Simpang Renggali</t>
        </is>
      </c>
      <c r="E73" s="24" t="inlineStr">
        <is>
          <t>Kopi Arabika</t>
        </is>
      </c>
      <c r="F73" s="152" t="n">
        <v>7.25</v>
      </c>
      <c r="G73" s="152" t="n">
        <v>207.86</v>
      </c>
      <c r="H73" s="152" t="n">
        <v>5.21</v>
      </c>
      <c r="I73" s="55" t="n"/>
      <c r="J73" s="38">
        <f>SUM(F73:H73)</f>
        <v/>
      </c>
      <c r="K73" s="143" t="n">
        <v>155682.57</v>
      </c>
      <c r="L73" s="56" t="n">
        <v>113</v>
      </c>
      <c r="M73" s="57" t="n"/>
    </row>
    <row r="74" ht="17.25" customHeight="1">
      <c r="A74" s="35" t="n"/>
      <c r="B74" s="43" t="n"/>
      <c r="C74" s="15" t="n">
        <v>67</v>
      </c>
      <c r="D74" s="59" t="inlineStr">
        <is>
          <t>Gunung Sayang</t>
        </is>
      </c>
      <c r="E74" s="24" t="inlineStr">
        <is>
          <t>Kopi Arabika</t>
        </is>
      </c>
      <c r="F74" s="152" t="n">
        <v>5.46</v>
      </c>
      <c r="G74" s="152" t="n">
        <v>262.63</v>
      </c>
      <c r="H74" s="152" t="n">
        <v>5.35</v>
      </c>
      <c r="I74" s="55" t="n"/>
      <c r="J74" s="38">
        <f>SUM(F74:H74)</f>
        <v/>
      </c>
      <c r="K74" s="143" t="n">
        <v>216033.21</v>
      </c>
      <c r="L74" s="56" t="n">
        <v>105</v>
      </c>
      <c r="M74" s="57" t="n"/>
    </row>
    <row r="75" ht="17.25" customHeight="1">
      <c r="A75" s="35" t="n"/>
      <c r="B75" s="43" t="n"/>
      <c r="C75" s="15" t="n">
        <v>68</v>
      </c>
      <c r="D75" s="59" t="inlineStr">
        <is>
          <t>Uwer Tingkem</t>
        </is>
      </c>
      <c r="E75" s="24" t="inlineStr">
        <is>
          <t>Kopi Arabika</t>
        </is>
      </c>
      <c r="F75" s="152" t="n">
        <v>8.300000000000001</v>
      </c>
      <c r="G75" s="152" t="n">
        <v>499.66</v>
      </c>
      <c r="H75" s="152" t="n">
        <v>7.27</v>
      </c>
      <c r="I75" s="55" t="n"/>
      <c r="J75" s="38">
        <f>SUM(F75:H75)</f>
        <v/>
      </c>
      <c r="K75" s="143" t="n">
        <v>392291.84</v>
      </c>
      <c r="L75" s="56" t="n">
        <v>241</v>
      </c>
      <c r="M75" s="57" t="n"/>
    </row>
    <row r="76" ht="17.25" customHeight="1">
      <c r="A76" s="35" t="n"/>
      <c r="B76" s="43" t="n"/>
      <c r="C76" s="15" t="n">
        <v>69</v>
      </c>
      <c r="D76" s="59" t="inlineStr">
        <is>
          <t>Perumpaken Benjadi</t>
        </is>
      </c>
      <c r="E76" s="24" t="inlineStr">
        <is>
          <t>Kopi Arabika</t>
        </is>
      </c>
      <c r="F76" s="152" t="n">
        <v>9.15</v>
      </c>
      <c r="G76" s="152" t="n">
        <v>313</v>
      </c>
      <c r="H76" s="152" t="n">
        <v>7.14</v>
      </c>
      <c r="I76" s="55" t="n"/>
      <c r="J76" s="38">
        <f>SUM(F76:H76)</f>
        <v/>
      </c>
      <c r="K76" s="143" t="n">
        <v>251651.88</v>
      </c>
      <c r="L76" s="56" t="n">
        <v>198</v>
      </c>
      <c r="M76" s="57" t="n"/>
    </row>
    <row r="77" ht="17.25" customHeight="1">
      <c r="A77" s="35" t="n"/>
      <c r="B77" s="43" t="n"/>
      <c r="C77" s="15" t="n">
        <v>70</v>
      </c>
      <c r="D77" s="54" t="inlineStr">
        <is>
          <t>Simpur</t>
        </is>
      </c>
      <c r="E77" s="24" t="inlineStr">
        <is>
          <t>Kopi Arabika</t>
        </is>
      </c>
      <c r="F77" s="152" t="n">
        <v>8.65</v>
      </c>
      <c r="G77" s="152" t="n">
        <v>442.38</v>
      </c>
      <c r="H77" s="152" t="n">
        <v>12.79</v>
      </c>
      <c r="I77" s="55" t="n"/>
      <c r="J77" s="38">
        <f>SUM(F77:H77)</f>
        <v/>
      </c>
      <c r="K77" s="143" t="n">
        <v>335127.3</v>
      </c>
      <c r="L77" s="56" t="n">
        <v>219</v>
      </c>
      <c r="M77" s="57" t="n"/>
    </row>
    <row r="78" ht="17.25" customHeight="1">
      <c r="A78" s="35" t="n"/>
      <c r="B78" s="43" t="n"/>
      <c r="C78" s="15" t="n">
        <v>71</v>
      </c>
      <c r="D78" s="60" t="inlineStr">
        <is>
          <t>Hakim Peteri Pintu</t>
        </is>
      </c>
      <c r="E78" s="24" t="inlineStr">
        <is>
          <t>Kopi Arabika</t>
        </is>
      </c>
      <c r="F78" s="152" t="n">
        <v>15.78</v>
      </c>
      <c r="G78" s="153" t="n">
        <v>213.12</v>
      </c>
      <c r="H78" s="152" t="n">
        <v>7.36</v>
      </c>
      <c r="I78" s="55" t="n"/>
      <c r="J78" s="38">
        <f>SUM(F78:H78)</f>
        <v/>
      </c>
      <c r="K78" s="143" t="n">
        <v>167970.79</v>
      </c>
      <c r="L78" s="56" t="n">
        <v>161</v>
      </c>
      <c r="M78" s="57" t="n"/>
    </row>
    <row r="79" ht="17.25" customHeight="1">
      <c r="A79" s="35" t="n"/>
      <c r="B79" s="43" t="n"/>
      <c r="C79" s="15" t="n">
        <v>72</v>
      </c>
      <c r="D79" s="54" t="inlineStr">
        <is>
          <t>Sosial</t>
        </is>
      </c>
      <c r="E79" s="24" t="inlineStr">
        <is>
          <t>Kopi Arabika</t>
        </is>
      </c>
      <c r="F79" s="152" t="n">
        <v>15.68</v>
      </c>
      <c r="G79" s="154" t="n">
        <v>357.25</v>
      </c>
      <c r="H79" s="152" t="n">
        <v>8.25</v>
      </c>
      <c r="I79" s="55" t="n"/>
      <c r="J79" s="38">
        <f>SUM(F79:H79)</f>
        <v/>
      </c>
      <c r="K79" s="143" t="n">
        <v>289402.71</v>
      </c>
      <c r="L79" s="56" t="n">
        <v>269</v>
      </c>
      <c r="M79" s="57" t="n"/>
    </row>
    <row r="80" ht="17.25" customHeight="1">
      <c r="A80" s="125" t="inlineStr">
        <is>
          <t>Jumlah</t>
        </is>
      </c>
      <c r="B80" s="140" t="n"/>
      <c r="C80" s="140" t="n"/>
      <c r="D80" s="135" t="n"/>
      <c r="E80" s="126" t="n"/>
      <c r="F80" s="30">
        <f>SUM(F65:F79)</f>
        <v/>
      </c>
      <c r="G80" s="30">
        <f>SUM(G65:G79)</f>
        <v/>
      </c>
      <c r="H80" s="30">
        <f>SUM(H65:H79)</f>
        <v/>
      </c>
      <c r="I80" s="30" t="n"/>
      <c r="J80" s="31">
        <f>SUM(J65:J79)</f>
        <v/>
      </c>
      <c r="K80" s="30">
        <f>SUM(K65:K79)</f>
        <v/>
      </c>
      <c r="L80" s="30">
        <f>SUM(L65:L79)</f>
        <v/>
      </c>
      <c r="M80" s="32" t="n"/>
    </row>
    <row r="81" ht="17.25" customHeight="1">
      <c r="A81" s="35" t="inlineStr">
        <is>
          <t>IV.</t>
        </is>
      </c>
      <c r="B81" s="36" t="inlineStr">
        <is>
          <t>Wih Pesam</t>
        </is>
      </c>
      <c r="C81" s="15" t="n">
        <v>73</v>
      </c>
      <c r="D81" s="63" t="inlineStr">
        <is>
          <t>Blang Benara</t>
        </is>
      </c>
      <c r="E81" s="24" t="inlineStr">
        <is>
          <t>Kopi Arabika</t>
        </is>
      </c>
      <c r="F81" s="155" t="n">
        <v>3.24</v>
      </c>
      <c r="G81" s="155" t="n">
        <v>9.630000000000001</v>
      </c>
      <c r="H81" s="156" t="n">
        <v>0</v>
      </c>
      <c r="I81" s="66" t="n"/>
      <c r="J81" s="38">
        <f>SUM(F81:H81)</f>
        <v/>
      </c>
      <c r="K81" s="143" t="n">
        <v>6189</v>
      </c>
      <c r="L81" s="157" t="n">
        <v>63</v>
      </c>
      <c r="M81" s="57" t="n"/>
    </row>
    <row r="82" ht="17.25" customHeight="1">
      <c r="A82" s="35" t="n"/>
      <c r="B82" s="43" t="n"/>
      <c r="C82" s="15" t="n">
        <v>74</v>
      </c>
      <c r="D82" s="68" t="inlineStr">
        <is>
          <t>Blang Paku</t>
        </is>
      </c>
      <c r="E82" s="24" t="inlineStr">
        <is>
          <t>Kopi Arabika</t>
        </is>
      </c>
      <c r="F82" s="136" t="n">
        <v>2.17</v>
      </c>
      <c r="G82" s="136" t="n">
        <v>10.78</v>
      </c>
      <c r="H82" s="136" t="n">
        <v>3.19</v>
      </c>
      <c r="I82" s="87" t="n"/>
      <c r="J82" s="38">
        <f>SUM(F82:H82)</f>
        <v/>
      </c>
      <c r="K82" s="143" t="n">
        <v>8015.7</v>
      </c>
      <c r="L82" s="137" t="n">
        <v>19</v>
      </c>
      <c r="M82" s="57" t="n"/>
    </row>
    <row r="83" ht="17.25" customHeight="1">
      <c r="A83" s="35" t="n"/>
      <c r="B83" s="43" t="n"/>
      <c r="C83" s="15" t="n">
        <v>75</v>
      </c>
      <c r="D83" s="68" t="inlineStr">
        <is>
          <t>Blang Kucak</t>
        </is>
      </c>
      <c r="E83" s="24" t="inlineStr">
        <is>
          <t>Kopi Arabika</t>
        </is>
      </c>
      <c r="F83" s="136" t="n">
        <v>4.23</v>
      </c>
      <c r="G83" s="136" t="n">
        <v>62.34</v>
      </c>
      <c r="H83" s="136" t="n">
        <v>11.6</v>
      </c>
      <c r="I83" s="87" t="n"/>
      <c r="J83" s="38">
        <f>SUM(F83:H83)</f>
        <v/>
      </c>
      <c r="K83" s="143" t="n">
        <v>41031.44</v>
      </c>
      <c r="L83" s="137" t="n">
        <v>171</v>
      </c>
      <c r="M83" s="57" t="n"/>
    </row>
    <row r="84" ht="17.25" customHeight="1">
      <c r="A84" s="35" t="n"/>
      <c r="B84" s="43" t="n"/>
      <c r="C84" s="15" t="n">
        <v>76</v>
      </c>
      <c r="D84" s="68" t="inlineStr">
        <is>
          <t>Burni Telong</t>
        </is>
      </c>
      <c r="E84" s="24" t="inlineStr">
        <is>
          <t>Kopi Arabika</t>
        </is>
      </c>
      <c r="F84" s="136" t="n">
        <v>4.41</v>
      </c>
      <c r="G84" s="136" t="n">
        <v>43.22</v>
      </c>
      <c r="H84" s="158" t="n">
        <v>0</v>
      </c>
      <c r="I84" s="70" t="n"/>
      <c r="J84" s="38">
        <f>SUM(F84:H84)</f>
        <v/>
      </c>
      <c r="K84" s="143" t="n">
        <v>31306.05</v>
      </c>
      <c r="L84" s="137" t="n">
        <v>169</v>
      </c>
      <c r="M84" s="57" t="n"/>
    </row>
    <row r="85" ht="17.25" customHeight="1">
      <c r="A85" s="35" t="n"/>
      <c r="B85" s="43" t="n"/>
      <c r="C85" s="15" t="n">
        <v>77</v>
      </c>
      <c r="D85" s="68" t="inlineStr">
        <is>
          <t>Cinta Damai</t>
        </is>
      </c>
      <c r="E85" s="24" t="inlineStr">
        <is>
          <t>Kopi Arabika</t>
        </is>
      </c>
      <c r="F85" s="136" t="n">
        <v>0</v>
      </c>
      <c r="G85" s="136" t="n">
        <v>197.25</v>
      </c>
      <c r="H85" s="136" t="n">
        <v>14.09</v>
      </c>
      <c r="I85" s="87" t="n"/>
      <c r="J85" s="38">
        <f>SUM(F85:H85)</f>
        <v/>
      </c>
      <c r="K85" s="143" t="n">
        <v>138514.41</v>
      </c>
      <c r="L85" s="137" t="n">
        <v>97</v>
      </c>
      <c r="M85" s="57" t="n"/>
    </row>
    <row r="86" ht="17.25" customHeight="1">
      <c r="A86" s="35" t="n"/>
      <c r="B86" s="43" t="n"/>
      <c r="C86" s="15" t="n">
        <v>78</v>
      </c>
      <c r="D86" s="68" t="inlineStr">
        <is>
          <t>Jamur Ujung</t>
        </is>
      </c>
      <c r="E86" s="24" t="inlineStr">
        <is>
          <t>Kopi Arabika</t>
        </is>
      </c>
      <c r="F86" s="136" t="n">
        <v>2.07</v>
      </c>
      <c r="G86" s="139" t="n">
        <v>19.13</v>
      </c>
      <c r="H86" s="136" t="n">
        <v>13.95</v>
      </c>
      <c r="I86" s="87" t="n"/>
      <c r="J86" s="38">
        <f>SUM(F86:H86)</f>
        <v/>
      </c>
      <c r="K86" s="143" t="n">
        <v>12360.73</v>
      </c>
      <c r="L86" s="137" t="n">
        <v>55</v>
      </c>
      <c r="M86" s="57" t="n"/>
    </row>
    <row r="87" ht="17.25" customHeight="1">
      <c r="A87" s="35" t="n"/>
      <c r="B87" s="43" t="n"/>
      <c r="C87" s="15" t="n">
        <v>79</v>
      </c>
      <c r="D87" s="68" t="inlineStr">
        <is>
          <t>Kebun Baru</t>
        </is>
      </c>
      <c r="E87" s="24" t="inlineStr">
        <is>
          <t>Kopi Arabika</t>
        </is>
      </c>
      <c r="F87" s="136" t="n">
        <v>43.36</v>
      </c>
      <c r="G87" s="136" t="n">
        <v>66.06999999999999</v>
      </c>
      <c r="H87" s="136" t="n">
        <v>4.3</v>
      </c>
      <c r="I87" s="87" t="n"/>
      <c r="J87" s="38">
        <f>SUM(F87:H87)</f>
        <v/>
      </c>
      <c r="K87" s="143" t="n">
        <v>46919.52</v>
      </c>
      <c r="L87" s="137" t="n">
        <v>443</v>
      </c>
      <c r="M87" s="57" t="n"/>
    </row>
    <row r="88" ht="17.25" customHeight="1">
      <c r="A88" s="35" t="n"/>
      <c r="B88" s="43" t="n"/>
      <c r="C88" s="15" t="n">
        <v>80</v>
      </c>
      <c r="D88" s="68" t="inlineStr">
        <is>
          <t>Lut Kucak</t>
        </is>
      </c>
      <c r="E88" s="24" t="inlineStr">
        <is>
          <t>Kopi Arabika</t>
        </is>
      </c>
      <c r="F88" s="136" t="n">
        <v>21.43</v>
      </c>
      <c r="G88" s="136" t="n">
        <v>48.71</v>
      </c>
      <c r="H88" s="136" t="n">
        <v>38.77</v>
      </c>
      <c r="I88" s="87" t="n"/>
      <c r="J88" s="38">
        <f>SUM(F88:H88)</f>
        <v/>
      </c>
      <c r="K88" s="143" t="n">
        <v>31335.08</v>
      </c>
      <c r="L88" s="137" t="n">
        <v>223</v>
      </c>
      <c r="M88" s="57" t="n"/>
    </row>
    <row r="89" ht="17.25" customHeight="1">
      <c r="A89" s="35" t="n"/>
      <c r="B89" s="43" t="n"/>
      <c r="C89" s="15" t="n">
        <v>81</v>
      </c>
      <c r="D89" s="68" t="inlineStr">
        <is>
          <t>Pante Raya</t>
        </is>
      </c>
      <c r="E89" s="24" t="inlineStr">
        <is>
          <t>Kopi Arabika</t>
        </is>
      </c>
      <c r="F89" s="136" t="n">
        <v>6.78</v>
      </c>
      <c r="G89" s="136" t="n">
        <v>165.74</v>
      </c>
      <c r="H89" s="136" t="n">
        <v>24.21</v>
      </c>
      <c r="I89" s="87" t="n"/>
      <c r="J89" s="38">
        <f>SUM(F89:H89)</f>
        <v/>
      </c>
      <c r="K89" s="143" t="n">
        <v>118960.54</v>
      </c>
      <c r="L89" s="137" t="n">
        <v>227</v>
      </c>
      <c r="M89" s="57" t="n"/>
    </row>
    <row r="90" ht="17.25" customHeight="1">
      <c r="A90" s="35" t="n"/>
      <c r="B90" s="43" t="n"/>
      <c r="C90" s="15" t="n">
        <v>82</v>
      </c>
      <c r="D90" s="68" t="inlineStr">
        <is>
          <t>Bukit Pepanyi</t>
        </is>
      </c>
      <c r="E90" s="24" t="inlineStr">
        <is>
          <t>Kopi Arabika</t>
        </is>
      </c>
      <c r="F90" s="158" t="n">
        <v>0</v>
      </c>
      <c r="G90" s="136" t="n">
        <v>187.89</v>
      </c>
      <c r="H90" s="136" t="n">
        <v>1.58</v>
      </c>
      <c r="I90" s="87" t="n"/>
      <c r="J90" s="38">
        <f>SUM(F90:H90)</f>
        <v/>
      </c>
      <c r="K90" s="143" t="n">
        <v>145341.77</v>
      </c>
      <c r="L90" s="137" t="n">
        <v>142</v>
      </c>
      <c r="M90" s="57" t="n"/>
    </row>
    <row r="91" ht="17.25" customHeight="1">
      <c r="A91" s="35" t="n"/>
      <c r="B91" s="43" t="n"/>
      <c r="C91" s="15" t="n">
        <v>83</v>
      </c>
      <c r="D91" s="68" t="inlineStr">
        <is>
          <t>Simpang Teritit</t>
        </is>
      </c>
      <c r="E91" s="24" t="inlineStr">
        <is>
          <t>Kopi Arabika</t>
        </is>
      </c>
      <c r="F91" s="136" t="n">
        <v>3.81</v>
      </c>
      <c r="G91" s="136" t="n">
        <v>15.93</v>
      </c>
      <c r="H91" s="158" t="n">
        <v>0</v>
      </c>
      <c r="I91" s="70" t="n"/>
      <c r="J91" s="38">
        <f>SUM(F91:H91)</f>
        <v/>
      </c>
      <c r="K91" s="143" t="n">
        <v>9895.709999999999</v>
      </c>
      <c r="L91" s="137" t="n">
        <v>380</v>
      </c>
      <c r="M91" s="57" t="n"/>
    </row>
    <row r="92" ht="17.25" customHeight="1">
      <c r="A92" s="35" t="n"/>
      <c r="B92" s="43" t="n"/>
      <c r="C92" s="15" t="n">
        <v>84</v>
      </c>
      <c r="D92" s="72" t="inlineStr">
        <is>
          <t>Suka Jadi</t>
        </is>
      </c>
      <c r="E92" s="24" t="inlineStr">
        <is>
          <t>Kopi Arabika</t>
        </is>
      </c>
      <c r="F92" s="136" t="n">
        <v>7.4</v>
      </c>
      <c r="G92" s="136" t="n">
        <v>320.76</v>
      </c>
      <c r="H92" s="136" t="n">
        <v>23.55</v>
      </c>
      <c r="I92" s="87" t="n"/>
      <c r="J92" s="38">
        <f>SUM(F92:H92)</f>
        <v/>
      </c>
      <c r="K92" s="143" t="n">
        <v>232923.83</v>
      </c>
      <c r="L92" s="137" t="n">
        <v>199</v>
      </c>
      <c r="M92" s="57" t="n"/>
    </row>
    <row r="93" ht="17.25" customHeight="1">
      <c r="A93" s="35" t="n"/>
      <c r="B93" s="43" t="n"/>
      <c r="C93" s="15" t="n">
        <v>85</v>
      </c>
      <c r="D93" s="68" t="inlineStr">
        <is>
          <t>Suka Makmur Timur</t>
        </is>
      </c>
      <c r="E93" s="24" t="inlineStr">
        <is>
          <t>Kopi Arabika</t>
        </is>
      </c>
      <c r="F93" s="158" t="n">
        <v>0</v>
      </c>
      <c r="G93" s="139" t="n">
        <v>135.29</v>
      </c>
      <c r="H93" s="158" t="n">
        <v>0</v>
      </c>
      <c r="I93" s="70" t="n"/>
      <c r="J93" s="38">
        <f>SUM(F93:H93)</f>
        <v/>
      </c>
      <c r="K93" s="143" t="n">
        <v>84888.64999999999</v>
      </c>
      <c r="L93" s="137" t="n">
        <v>165</v>
      </c>
      <c r="M93" s="57" t="n"/>
    </row>
    <row r="94" ht="17.25" customHeight="1">
      <c r="A94" s="35" t="n"/>
      <c r="B94" s="43" t="n"/>
      <c r="C94" s="15" t="n">
        <v>86</v>
      </c>
      <c r="D94" s="68" t="inlineStr">
        <is>
          <t>Suka Makmur</t>
        </is>
      </c>
      <c r="E94" s="24" t="inlineStr">
        <is>
          <t>Kopi Arabika</t>
        </is>
      </c>
      <c r="F94" s="136" t="n">
        <v>7.23</v>
      </c>
      <c r="G94" s="139" t="n">
        <v>32.57</v>
      </c>
      <c r="H94" s="136" t="n">
        <v>7.82</v>
      </c>
      <c r="I94" s="87" t="n"/>
      <c r="J94" s="38">
        <f>SUM(F94:H94)</f>
        <v/>
      </c>
      <c r="K94" s="143" t="n">
        <v>23184.42</v>
      </c>
      <c r="L94" s="137" t="n">
        <v>69</v>
      </c>
      <c r="M94" s="57" t="n"/>
    </row>
    <row r="95" ht="17.25" customHeight="1">
      <c r="A95" s="35" t="n"/>
      <c r="B95" s="43" t="n"/>
      <c r="C95" s="15" t="n">
        <v>87</v>
      </c>
      <c r="D95" s="68" t="inlineStr">
        <is>
          <t>Suka Ramai Atas</t>
        </is>
      </c>
      <c r="E95" s="24" t="inlineStr">
        <is>
          <t>Kopi Arabika</t>
        </is>
      </c>
      <c r="F95" s="136" t="n">
        <v>6.42</v>
      </c>
      <c r="G95" s="139" t="n">
        <v>113.88</v>
      </c>
      <c r="H95" s="136" t="n">
        <v>33.35</v>
      </c>
      <c r="I95" s="87" t="n"/>
      <c r="J95" s="38">
        <f>SUM(F95:H95)</f>
        <v/>
      </c>
      <c r="K95" s="143" t="n">
        <v>85088.33</v>
      </c>
      <c r="L95" s="137" t="n">
        <v>144</v>
      </c>
      <c r="M95" s="57" t="n"/>
    </row>
    <row r="96" ht="17.25" customHeight="1">
      <c r="A96" s="35" t="n"/>
      <c r="B96" s="43" t="n"/>
      <c r="C96" s="15" t="n">
        <v>88</v>
      </c>
      <c r="D96" s="68" t="inlineStr">
        <is>
          <t>Suka Ramai Bawah</t>
        </is>
      </c>
      <c r="E96" s="24" t="inlineStr">
        <is>
          <t>Kopi Arabika</t>
        </is>
      </c>
      <c r="F96" s="136" t="n">
        <v>6.51</v>
      </c>
      <c r="G96" s="139" t="n">
        <v>128.21</v>
      </c>
      <c r="H96" s="136" t="n">
        <v>55.07</v>
      </c>
      <c r="I96" s="87" t="n"/>
      <c r="J96" s="38">
        <f>SUM(F96:H96)</f>
        <v/>
      </c>
      <c r="K96" s="143" t="n">
        <v>82405.17</v>
      </c>
      <c r="L96" s="137" t="n">
        <v>172</v>
      </c>
      <c r="M96" s="57" t="n"/>
    </row>
    <row r="97" ht="17.25" customHeight="1">
      <c r="A97" s="35" t="n"/>
      <c r="B97" s="43" t="n"/>
      <c r="C97" s="15" t="n">
        <v>89</v>
      </c>
      <c r="D97" s="68" t="inlineStr">
        <is>
          <t>Syura Jadi</t>
        </is>
      </c>
      <c r="E97" s="24" t="inlineStr">
        <is>
          <t>Kopi Arabika</t>
        </is>
      </c>
      <c r="F97" s="136" t="n">
        <v>6.3</v>
      </c>
      <c r="G97" s="139" t="n">
        <v>459.91</v>
      </c>
      <c r="H97" s="136" t="n">
        <v>32.07</v>
      </c>
      <c r="I97" s="87" t="n"/>
      <c r="J97" s="38">
        <f>SUM(F97:H97)</f>
        <v/>
      </c>
      <c r="K97" s="143" t="n">
        <v>315337.72</v>
      </c>
      <c r="L97" s="137" t="n">
        <v>283</v>
      </c>
      <c r="M97" s="57" t="n"/>
    </row>
    <row r="98" ht="17.25" customHeight="1">
      <c r="A98" s="35" t="n"/>
      <c r="B98" s="43" t="n"/>
      <c r="C98" s="15" t="n">
        <v>90</v>
      </c>
      <c r="D98" s="68" t="inlineStr">
        <is>
          <t>Wono Sobo</t>
        </is>
      </c>
      <c r="E98" s="24" t="inlineStr">
        <is>
          <t>Kopi Arabika</t>
        </is>
      </c>
      <c r="F98" s="136" t="n">
        <v>4.32</v>
      </c>
      <c r="G98" s="139" t="n">
        <v>70.69</v>
      </c>
      <c r="H98" s="136" t="n">
        <v>2.17</v>
      </c>
      <c r="I98" s="87" t="n"/>
      <c r="J98" s="38">
        <f>SUM(F98:H98)</f>
        <v/>
      </c>
      <c r="K98" s="143" t="n">
        <v>48992.46</v>
      </c>
      <c r="L98" s="137" t="n">
        <v>239</v>
      </c>
      <c r="M98" s="57" t="n"/>
    </row>
    <row r="99" ht="17.25" customHeight="1">
      <c r="A99" s="35" t="n"/>
      <c r="B99" s="43" t="n"/>
      <c r="C99" s="15" t="n">
        <v>91</v>
      </c>
      <c r="D99" s="72" t="inlineStr">
        <is>
          <t>Simpang Antara</t>
        </is>
      </c>
      <c r="E99" s="24" t="inlineStr">
        <is>
          <t>Kopi Arabika</t>
        </is>
      </c>
      <c r="F99" s="136" t="n">
        <v>4.35</v>
      </c>
      <c r="G99" s="139" t="n">
        <v>139.62</v>
      </c>
      <c r="H99" s="136" t="n">
        <v>2.18</v>
      </c>
      <c r="I99" s="87" t="n"/>
      <c r="J99" s="38">
        <f>SUM(F99:H99)</f>
        <v/>
      </c>
      <c r="K99" s="143" t="n">
        <v>101537.65</v>
      </c>
      <c r="L99" s="137" t="n">
        <v>117</v>
      </c>
      <c r="M99" s="57" t="n"/>
    </row>
    <row r="100" ht="17.25" customHeight="1">
      <c r="A100" s="35" t="n"/>
      <c r="B100" s="43" t="n"/>
      <c r="C100" s="15" t="n">
        <v>92</v>
      </c>
      <c r="D100" s="68" t="inlineStr">
        <is>
          <t>Merie Satu</t>
        </is>
      </c>
      <c r="E100" s="24" t="inlineStr">
        <is>
          <t>Kopi Arabika</t>
        </is>
      </c>
      <c r="F100" s="136" t="n">
        <v>3.58</v>
      </c>
      <c r="G100" s="139" t="n">
        <v>249.24</v>
      </c>
      <c r="H100" s="136" t="n">
        <v>2.96</v>
      </c>
      <c r="I100" s="87" t="n"/>
      <c r="J100" s="38">
        <f>SUM(F100:H100)</f>
        <v/>
      </c>
      <c r="K100" s="143" t="n">
        <v>156434.39</v>
      </c>
      <c r="L100" s="137" t="n">
        <v>187</v>
      </c>
      <c r="M100" s="57" t="n"/>
    </row>
    <row r="101" ht="17.25" customHeight="1">
      <c r="A101" s="35" t="n"/>
      <c r="B101" s="43" t="n"/>
      <c r="C101" s="15" t="n">
        <v>93</v>
      </c>
      <c r="D101" s="68" t="inlineStr">
        <is>
          <t>Jamur Uluh</t>
        </is>
      </c>
      <c r="E101" s="24" t="inlineStr">
        <is>
          <t>Kopi Arabika</t>
        </is>
      </c>
      <c r="F101" s="159" t="n">
        <v>0</v>
      </c>
      <c r="G101" s="160" t="n">
        <v>95.17</v>
      </c>
      <c r="H101" s="159" t="n">
        <v>0</v>
      </c>
      <c r="I101" s="73" t="n"/>
      <c r="J101" s="38">
        <f>SUM(F101:H101)</f>
        <v/>
      </c>
      <c r="K101" s="143" t="n">
        <v>63574.35</v>
      </c>
      <c r="L101" s="148" t="n">
        <v>89</v>
      </c>
      <c r="M101" s="57" t="n"/>
    </row>
    <row r="102" ht="17.25" customHeight="1">
      <c r="A102" s="35" t="n"/>
      <c r="B102" s="43" t="n"/>
      <c r="C102" s="15" t="n">
        <v>94</v>
      </c>
      <c r="D102" s="68" t="inlineStr">
        <is>
          <t>Wih Pesam</t>
        </is>
      </c>
      <c r="E102" s="24" t="inlineStr">
        <is>
          <t>Kopi Arabika</t>
        </is>
      </c>
      <c r="F102" s="136" t="n">
        <v>4.41</v>
      </c>
      <c r="G102" s="139" t="n">
        <v>78.06999999999999</v>
      </c>
      <c r="H102" s="136" t="n">
        <v>23.11</v>
      </c>
      <c r="I102" s="87" t="n"/>
      <c r="J102" s="38">
        <f>SUM(F102:H102)</f>
        <v/>
      </c>
      <c r="K102" s="143" t="n">
        <v>50830.77</v>
      </c>
      <c r="L102" s="137" t="n">
        <v>223</v>
      </c>
      <c r="M102" s="57" t="n"/>
    </row>
    <row r="103" ht="17.25" customHeight="1">
      <c r="A103" s="35" t="n"/>
      <c r="B103" s="43" t="n"/>
      <c r="C103" s="15" t="n">
        <v>95</v>
      </c>
      <c r="D103" s="68" t="inlineStr">
        <is>
          <t>Simpang Balik</t>
        </is>
      </c>
      <c r="E103" s="24" t="inlineStr">
        <is>
          <t>Kopi Arabika</t>
        </is>
      </c>
      <c r="F103" s="136" t="n">
        <v>16.8</v>
      </c>
      <c r="G103" s="139" t="n">
        <v>54.92</v>
      </c>
      <c r="H103" s="136" t="n">
        <v>16.97</v>
      </c>
      <c r="I103" s="87" t="n"/>
      <c r="J103" s="38">
        <f>SUM(F103:H103)</f>
        <v/>
      </c>
      <c r="K103" s="143" t="n">
        <v>37673.66</v>
      </c>
      <c r="L103" s="137" t="n">
        <v>237</v>
      </c>
      <c r="M103" s="57" t="n"/>
    </row>
    <row r="104" ht="17.25" customHeight="1">
      <c r="A104" s="35" t="n"/>
      <c r="B104" s="43" t="n"/>
      <c r="C104" s="15" t="n">
        <v>96</v>
      </c>
      <c r="D104" s="68" t="inlineStr">
        <is>
          <t>Bener Mulie</t>
        </is>
      </c>
      <c r="E104" s="24" t="inlineStr">
        <is>
          <t>Kopi Arabika</t>
        </is>
      </c>
      <c r="F104" s="136" t="n">
        <v>8.52</v>
      </c>
      <c r="G104" s="139" t="n">
        <v>149.92</v>
      </c>
      <c r="H104" s="136" t="n">
        <v>6.36</v>
      </c>
      <c r="I104" s="87" t="n"/>
      <c r="J104" s="38">
        <f>SUM(F104:H104)</f>
        <v/>
      </c>
      <c r="K104" s="143" t="n">
        <v>97665.67999999999</v>
      </c>
      <c r="L104" s="137" t="n">
        <v>297</v>
      </c>
      <c r="M104" s="57" t="n"/>
    </row>
    <row r="105" ht="17.25" customHeight="1">
      <c r="A105" s="35" t="n"/>
      <c r="B105" s="43" t="n"/>
      <c r="C105" s="15" t="n">
        <v>97</v>
      </c>
      <c r="D105" s="68" t="inlineStr">
        <is>
          <t>Bener Ayu</t>
        </is>
      </c>
      <c r="E105" s="24" t="inlineStr">
        <is>
          <t>Kopi Arabika</t>
        </is>
      </c>
      <c r="F105" s="136" t="n">
        <v>9.43</v>
      </c>
      <c r="G105" s="139" t="n">
        <v>117.65</v>
      </c>
      <c r="H105" s="136" t="n">
        <v>13.75</v>
      </c>
      <c r="I105" s="87" t="n"/>
      <c r="J105" s="38">
        <f>SUM(F105:H105)</f>
        <v/>
      </c>
      <c r="K105" s="143" t="n">
        <v>91082.78</v>
      </c>
      <c r="L105" s="137" t="n">
        <v>186</v>
      </c>
      <c r="M105" s="57" t="n"/>
    </row>
    <row r="106" ht="17.25" customHeight="1">
      <c r="A106" s="35" t="n"/>
      <c r="B106" s="43" t="n"/>
      <c r="C106" s="15" t="n">
        <v>98</v>
      </c>
      <c r="D106" s="68" t="inlineStr">
        <is>
          <t>Gegerung</t>
        </is>
      </c>
      <c r="E106" s="24" t="inlineStr">
        <is>
          <t>Kopi Arabika</t>
        </is>
      </c>
      <c r="F106" s="136" t="n">
        <v>4.36</v>
      </c>
      <c r="G106" s="139" t="n">
        <v>83.36</v>
      </c>
      <c r="H106" s="136" t="n">
        <v>6.55</v>
      </c>
      <c r="I106" s="87" t="n"/>
      <c r="J106" s="38">
        <f>SUM(F106:H106)</f>
        <v/>
      </c>
      <c r="K106" s="143" t="n">
        <v>63803.96</v>
      </c>
      <c r="L106" s="137" t="n">
        <v>173</v>
      </c>
      <c r="M106" s="57" t="n"/>
    </row>
    <row r="107" ht="17.25" customHeight="1">
      <c r="A107" s="125" t="inlineStr">
        <is>
          <t>Jumlah</t>
        </is>
      </c>
      <c r="B107" s="140" t="n"/>
      <c r="C107" s="140" t="n"/>
      <c r="D107" s="135" t="n"/>
      <c r="E107" s="126" t="n"/>
      <c r="F107" s="30">
        <f>SUM(F81:F106)</f>
        <v/>
      </c>
      <c r="G107" s="30">
        <f>SUM(G81:G106)</f>
        <v/>
      </c>
      <c r="H107" s="30">
        <f>SUM(H81:H106)</f>
        <v/>
      </c>
      <c r="I107" s="30" t="n"/>
      <c r="J107" s="31">
        <f>SUM(J81:J106)</f>
        <v/>
      </c>
      <c r="K107" s="30">
        <f>SUM(K81:K106)</f>
        <v/>
      </c>
      <c r="L107" s="30">
        <f>SUM(L81:L106)</f>
        <v/>
      </c>
      <c r="M107" s="32" t="n"/>
    </row>
    <row r="108" ht="17.25" customHeight="1">
      <c r="A108" s="35" t="inlineStr">
        <is>
          <t>V.</t>
        </is>
      </c>
      <c r="B108" s="43" t="inlineStr">
        <is>
          <t>Syiah Utama</t>
        </is>
      </c>
      <c r="C108" s="75" t="n">
        <v>99</v>
      </c>
      <c r="D108" s="76" t="inlineStr">
        <is>
          <t>Tembolon</t>
        </is>
      </c>
      <c r="E108" s="24" t="inlineStr">
        <is>
          <t>Kopi Arabika</t>
        </is>
      </c>
      <c r="F108" s="161" t="n">
        <v>10.07</v>
      </c>
      <c r="G108" s="161" t="n">
        <v>20.41</v>
      </c>
      <c r="H108" s="161" t="n">
        <v>15.12</v>
      </c>
      <c r="I108" s="78" t="n"/>
      <c r="J108" s="79">
        <f>SUM(F108:H108)</f>
        <v/>
      </c>
      <c r="K108" s="162" t="n">
        <v>11976.91</v>
      </c>
      <c r="L108" s="163" t="n">
        <v>9</v>
      </c>
      <c r="M108" s="57" t="n"/>
    </row>
    <row r="109" ht="17.25" customHeight="1">
      <c r="A109" s="35" t="n"/>
      <c r="B109" s="43" t="n"/>
      <c r="C109" s="82" t="n">
        <v>100</v>
      </c>
      <c r="D109" s="83" t="inlineStr">
        <is>
          <t>Rusip</t>
        </is>
      </c>
      <c r="E109" s="24" t="inlineStr">
        <is>
          <t>Kopi Arabika</t>
        </is>
      </c>
      <c r="F109" s="161" t="n">
        <v>10.34</v>
      </c>
      <c r="G109" s="161" t="n">
        <v>5.24</v>
      </c>
      <c r="H109" s="161" t="n">
        <v>0</v>
      </c>
      <c r="I109" s="78" t="n"/>
      <c r="J109" s="79">
        <f>SUM(F109:H109)</f>
        <v/>
      </c>
      <c r="K109" s="162" t="n">
        <v>3392.54</v>
      </c>
      <c r="L109" s="163" t="n">
        <v>14</v>
      </c>
      <c r="M109" s="57" t="n"/>
    </row>
    <row r="110" ht="17.25" customHeight="1">
      <c r="A110" s="35" t="n"/>
      <c r="B110" s="43" t="n"/>
      <c r="C110" s="82" t="n">
        <v>101</v>
      </c>
      <c r="D110" s="83" t="inlineStr">
        <is>
          <t xml:space="preserve">Wihni Durin </t>
        </is>
      </c>
      <c r="E110" s="24" t="inlineStr">
        <is>
          <t>Kopi Arabika</t>
        </is>
      </c>
      <c r="F110" s="161" t="n">
        <v>0</v>
      </c>
      <c r="G110" s="161" t="n">
        <v>52.3</v>
      </c>
      <c r="H110" s="161" t="n">
        <v>0</v>
      </c>
      <c r="I110" s="78" t="n"/>
      <c r="J110" s="79">
        <f>SUM(F110:H110)</f>
        <v/>
      </c>
      <c r="K110" s="162" t="n">
        <v>34083.75</v>
      </c>
      <c r="L110" s="163" t="n">
        <v>91</v>
      </c>
      <c r="M110" s="57" t="n"/>
    </row>
    <row r="111" ht="17.25" customHeight="1">
      <c r="A111" s="35" t="n"/>
      <c r="B111" s="43" t="n"/>
      <c r="C111" s="82" t="n">
        <v>102</v>
      </c>
      <c r="D111" s="83" t="inlineStr">
        <is>
          <t xml:space="preserve">Blang Panu </t>
        </is>
      </c>
      <c r="E111" s="24" t="inlineStr">
        <is>
          <t>Kopi Arabika</t>
        </is>
      </c>
      <c r="F111" s="161" t="n">
        <v>4.71</v>
      </c>
      <c r="G111" s="161" t="n">
        <v>27.03</v>
      </c>
      <c r="H111" s="161" t="n">
        <v>6.22</v>
      </c>
      <c r="I111" s="78" t="n"/>
      <c r="J111" s="79">
        <f>SUM(F111:H111)</f>
        <v/>
      </c>
      <c r="K111" s="162" t="n">
        <v>16079.66</v>
      </c>
      <c r="L111" s="163" t="n">
        <v>25</v>
      </c>
      <c r="M111" s="57" t="n"/>
    </row>
    <row r="112" ht="17.25" customHeight="1">
      <c r="A112" s="35" t="n"/>
      <c r="B112" s="43" t="n"/>
      <c r="C112" s="84" t="n">
        <v>103</v>
      </c>
      <c r="D112" s="85" t="inlineStr">
        <is>
          <t xml:space="preserve">Rata Mulie </t>
        </is>
      </c>
      <c r="E112" s="24" t="inlineStr">
        <is>
          <t>Kopi Arabika</t>
        </is>
      </c>
      <c r="F112" s="161" t="n">
        <v>7.54</v>
      </c>
      <c r="G112" s="161" t="n">
        <v>3.56</v>
      </c>
      <c r="H112" s="161" t="n">
        <v>6.13</v>
      </c>
      <c r="I112" s="78" t="n"/>
      <c r="J112" s="79">
        <f>SUM(F112:H112)</f>
        <v/>
      </c>
      <c r="K112" s="162" t="n">
        <v>2148.67</v>
      </c>
      <c r="L112" s="163" t="n">
        <v>18</v>
      </c>
      <c r="M112" s="57" t="n"/>
    </row>
    <row r="113" ht="17.25" customHeight="1">
      <c r="A113" s="125" t="inlineStr">
        <is>
          <t>Jumlah</t>
        </is>
      </c>
      <c r="B113" s="140" t="n"/>
      <c r="C113" s="140" t="n"/>
      <c r="D113" s="135" t="n"/>
      <c r="E113" s="126" t="n"/>
      <c r="F113" s="30">
        <f>SUM(F108:F112)</f>
        <v/>
      </c>
      <c r="G113" s="30">
        <f>SUM(G108:G112)</f>
        <v/>
      </c>
      <c r="H113" s="30">
        <f>SUM(H108:H112)</f>
        <v/>
      </c>
      <c r="I113" s="30" t="n"/>
      <c r="J113" s="31">
        <f>SUM(J108:J112)</f>
        <v/>
      </c>
      <c r="K113" s="30">
        <f>SUM(K108:K112)</f>
        <v/>
      </c>
      <c r="L113" s="30">
        <f>SUM(L108:L112)</f>
        <v/>
      </c>
      <c r="M113" s="32" t="n"/>
    </row>
    <row r="114" ht="17.25" customHeight="1">
      <c r="A114" s="35" t="inlineStr">
        <is>
          <t>VI.</t>
        </is>
      </c>
      <c r="B114" s="36" t="inlineStr">
        <is>
          <t>Bukit</t>
        </is>
      </c>
      <c r="C114" s="15" t="n">
        <v>104</v>
      </c>
      <c r="D114" s="86" t="inlineStr">
        <is>
          <t>Bale Redelong</t>
        </is>
      </c>
      <c r="E114" s="24" t="inlineStr">
        <is>
          <t>Kopi Arabika</t>
        </is>
      </c>
      <c r="F114" s="136" t="n">
        <v>0</v>
      </c>
      <c r="G114" s="136" t="n">
        <v>158.9</v>
      </c>
      <c r="H114" s="164" t="n">
        <v>0</v>
      </c>
      <c r="I114" s="39" t="n"/>
      <c r="J114" s="39">
        <f>SUM(F114:H114)</f>
        <v/>
      </c>
      <c r="K114" s="162" t="n">
        <v>128499.49</v>
      </c>
      <c r="L114" s="165" t="n">
        <v>197</v>
      </c>
      <c r="M114" s="57" t="n"/>
    </row>
    <row r="115" ht="17.25" customHeight="1">
      <c r="A115" s="35" t="n"/>
      <c r="B115" s="43" t="n"/>
      <c r="C115" s="15" t="n">
        <v>105</v>
      </c>
      <c r="D115" s="25" t="inlineStr">
        <is>
          <t>Ujung Gele</t>
        </is>
      </c>
      <c r="E115" s="24" t="inlineStr">
        <is>
          <t>Kopi Arabika</t>
        </is>
      </c>
      <c r="F115" s="136" t="n">
        <v>0</v>
      </c>
      <c r="G115" s="136" t="n">
        <v>43.09</v>
      </c>
      <c r="H115" s="164" t="n">
        <v>0</v>
      </c>
      <c r="I115" s="39" t="n"/>
      <c r="J115" s="39">
        <f>SUM(F115:H115)</f>
        <v/>
      </c>
      <c r="K115" s="162" t="n">
        <v>37539.39</v>
      </c>
      <c r="L115" s="165" t="n">
        <v>36</v>
      </c>
      <c r="M115" s="57" t="n"/>
    </row>
    <row r="116" ht="17.25" customHeight="1">
      <c r="A116" s="35" t="n"/>
      <c r="B116" s="43" t="n"/>
      <c r="C116" s="15" t="n">
        <v>106</v>
      </c>
      <c r="D116" s="25" t="inlineStr">
        <is>
          <t>Bale Atu</t>
        </is>
      </c>
      <c r="E116" s="24" t="inlineStr">
        <is>
          <t>Kopi Arabika</t>
        </is>
      </c>
      <c r="F116" s="136" t="n">
        <v>0</v>
      </c>
      <c r="G116" s="136" t="n">
        <v>113.47</v>
      </c>
      <c r="H116" s="164" t="n">
        <v>0</v>
      </c>
      <c r="I116" s="39" t="n"/>
      <c r="J116" s="39">
        <f>SUM(F116:H116)</f>
        <v/>
      </c>
      <c r="K116" s="162" t="n">
        <v>97077.07000000001</v>
      </c>
      <c r="L116" s="165" t="n">
        <v>288</v>
      </c>
      <c r="M116" s="57" t="n"/>
    </row>
    <row r="117" ht="17.25" customHeight="1">
      <c r="A117" s="35" t="n"/>
      <c r="B117" s="43" t="n"/>
      <c r="C117" s="15" t="n">
        <v>107</v>
      </c>
      <c r="D117" s="25" t="inlineStr">
        <is>
          <t>Babussalam</t>
        </is>
      </c>
      <c r="E117" s="24" t="inlineStr">
        <is>
          <t>Kopi Arabika</t>
        </is>
      </c>
      <c r="F117" s="136" t="n">
        <v>0</v>
      </c>
      <c r="G117" s="136" t="n">
        <v>11.24</v>
      </c>
      <c r="H117" s="164" t="n">
        <v>0</v>
      </c>
      <c r="I117" s="39" t="n"/>
      <c r="J117" s="39">
        <f>SUM(F117:H117)</f>
        <v/>
      </c>
      <c r="K117" s="162" t="n">
        <v>9387.41</v>
      </c>
      <c r="L117" s="165" t="n">
        <v>3</v>
      </c>
      <c r="M117" s="57" t="n"/>
    </row>
    <row r="118" ht="17.25" customHeight="1">
      <c r="A118" s="35" t="n"/>
      <c r="B118" s="43" t="n"/>
      <c r="C118" s="15" t="n">
        <v>108</v>
      </c>
      <c r="D118" s="25" t="inlineStr">
        <is>
          <t>Hakim Tungul Naru</t>
        </is>
      </c>
      <c r="E118" s="24" t="inlineStr">
        <is>
          <t>Kopi Arabika</t>
        </is>
      </c>
      <c r="F118" s="136" t="n">
        <v>10.59</v>
      </c>
      <c r="G118" s="136" t="n">
        <v>139.26</v>
      </c>
      <c r="H118" s="164" t="n">
        <v>6.09</v>
      </c>
      <c r="I118" s="39" t="n"/>
      <c r="J118" s="39">
        <f>SUM(F118:H118)</f>
        <v/>
      </c>
      <c r="K118" s="162" t="n">
        <v>121513.06</v>
      </c>
      <c r="L118" s="165" t="n">
        <v>255</v>
      </c>
      <c r="M118" s="57" t="n"/>
    </row>
    <row r="119" ht="17.25" customHeight="1">
      <c r="A119" s="35" t="n"/>
      <c r="B119" s="43" t="n"/>
      <c r="C119" s="15" t="n">
        <v>109</v>
      </c>
      <c r="D119" s="25" t="inlineStr">
        <is>
          <t>Blang Panas</t>
        </is>
      </c>
      <c r="E119" s="24" t="inlineStr">
        <is>
          <t>Kopi Arabika</t>
        </is>
      </c>
      <c r="F119" s="136" t="n">
        <v>0</v>
      </c>
      <c r="G119" s="136" t="n">
        <v>177.53</v>
      </c>
      <c r="H119" s="164" t="n">
        <v>0</v>
      </c>
      <c r="I119" s="39" t="n"/>
      <c r="J119" s="39">
        <f>SUM(F119:H119)</f>
        <v/>
      </c>
      <c r="K119" s="162" t="n">
        <v>151652.59</v>
      </c>
      <c r="L119" s="165" t="n">
        <v>215</v>
      </c>
      <c r="M119" s="57" t="n"/>
    </row>
    <row r="120" ht="17.25" customHeight="1">
      <c r="A120" s="35" t="n"/>
      <c r="B120" s="43" t="n"/>
      <c r="C120" s="15" t="n">
        <v>110</v>
      </c>
      <c r="D120" s="25" t="inlineStr">
        <is>
          <t>Blang Tampu</t>
        </is>
      </c>
      <c r="E120" s="24" t="inlineStr">
        <is>
          <t>Kopi Arabika</t>
        </is>
      </c>
      <c r="F120" s="136" t="n">
        <v>0</v>
      </c>
      <c r="G120" s="136" t="n">
        <v>37.37</v>
      </c>
      <c r="H120" s="164" t="n">
        <v>0</v>
      </c>
      <c r="I120" s="39" t="n"/>
      <c r="J120" s="39">
        <f>SUM(F120:H120)</f>
        <v/>
      </c>
      <c r="K120" s="162" t="n">
        <v>30719.13</v>
      </c>
      <c r="L120" s="165" t="n">
        <v>193</v>
      </c>
      <c r="M120" s="57" t="n"/>
    </row>
    <row r="121" ht="17.25" customHeight="1">
      <c r="A121" s="35" t="n"/>
      <c r="B121" s="43" t="n"/>
      <c r="C121" s="15" t="n">
        <v>111</v>
      </c>
      <c r="D121" s="25" t="inlineStr">
        <is>
          <t>Serule Kayu</t>
        </is>
      </c>
      <c r="E121" s="24" t="inlineStr">
        <is>
          <t>Kopi Arabika</t>
        </is>
      </c>
      <c r="F121" s="136" t="n">
        <v>0</v>
      </c>
      <c r="G121" s="136" t="n">
        <v>24.83</v>
      </c>
      <c r="H121" s="164" t="n">
        <v>0</v>
      </c>
      <c r="I121" s="39" t="n"/>
      <c r="J121" s="39">
        <f>SUM(F121:H121)</f>
        <v/>
      </c>
      <c r="K121" s="162" t="n">
        <v>21063.42</v>
      </c>
      <c r="L121" s="165" t="n">
        <v>37</v>
      </c>
      <c r="M121" s="57" t="n"/>
    </row>
    <row r="122" ht="17.25" customHeight="1">
      <c r="A122" s="35" t="n"/>
      <c r="B122" s="43" t="n"/>
      <c r="C122" s="15" t="n">
        <v>112</v>
      </c>
      <c r="D122" s="25" t="inlineStr">
        <is>
          <t>Kute Tanyung</t>
        </is>
      </c>
      <c r="E122" s="24" t="inlineStr">
        <is>
          <t>Kopi Arabika</t>
        </is>
      </c>
      <c r="F122" s="136" t="n">
        <v>0</v>
      </c>
      <c r="G122" s="136" t="n">
        <v>36.86</v>
      </c>
      <c r="H122" s="164" t="n">
        <v>0</v>
      </c>
      <c r="I122" s="39" t="n"/>
      <c r="J122" s="39">
        <f>SUM(F122:H122)</f>
        <v/>
      </c>
      <c r="K122" s="162" t="n">
        <v>31469.04</v>
      </c>
      <c r="L122" s="165" t="n">
        <v>76</v>
      </c>
      <c r="M122" s="57" t="n"/>
    </row>
    <row r="123" ht="17.25" customHeight="1">
      <c r="A123" s="35" t="n"/>
      <c r="B123" s="43" t="n"/>
      <c r="C123" s="15" t="n">
        <v>113</v>
      </c>
      <c r="D123" s="25" t="inlineStr">
        <is>
          <t>Delung Tue</t>
        </is>
      </c>
      <c r="E123" s="24" t="inlineStr">
        <is>
          <t>Kopi Arabika</t>
        </is>
      </c>
      <c r="F123" s="136" t="n">
        <v>6.76</v>
      </c>
      <c r="G123" s="136" t="n">
        <v>33.21</v>
      </c>
      <c r="H123" s="164" t="n">
        <v>51.22</v>
      </c>
      <c r="I123" s="39" t="n"/>
      <c r="J123" s="39">
        <f>SUM(F123:H123)</f>
        <v/>
      </c>
      <c r="K123" s="162" t="n">
        <v>28010.87</v>
      </c>
      <c r="L123" s="165" t="n">
        <v>175</v>
      </c>
      <c r="M123" s="57" t="n"/>
    </row>
    <row r="124" ht="17.25" customHeight="1">
      <c r="A124" s="35" t="n"/>
      <c r="B124" s="43" t="n"/>
      <c r="C124" s="15" t="n">
        <v>114</v>
      </c>
      <c r="D124" s="25" t="inlineStr">
        <is>
          <t>Delung Asli</t>
        </is>
      </c>
      <c r="E124" s="24" t="inlineStr">
        <is>
          <t>Kopi Arabika</t>
        </is>
      </c>
      <c r="F124" s="136" t="n">
        <v>6.1</v>
      </c>
      <c r="G124" s="136" t="n">
        <v>90.7</v>
      </c>
      <c r="H124" s="164" t="n">
        <v>4.44</v>
      </c>
      <c r="I124" s="39" t="n"/>
      <c r="J124" s="39">
        <f>SUM(F124:H124)</f>
        <v/>
      </c>
      <c r="K124" s="162" t="n">
        <v>78124.14</v>
      </c>
      <c r="L124" s="165" t="n">
        <v>222</v>
      </c>
      <c r="M124" s="57" t="n"/>
    </row>
    <row r="125" ht="17.25" customHeight="1">
      <c r="A125" s="35" t="n"/>
      <c r="B125" s="43" t="n"/>
      <c r="C125" s="15" t="n">
        <v>115</v>
      </c>
      <c r="D125" s="25" t="inlineStr">
        <is>
          <t>Pilar Jaya</t>
        </is>
      </c>
      <c r="E125" s="24" t="inlineStr">
        <is>
          <t>Kopi Arabika</t>
        </is>
      </c>
      <c r="F125" s="136" t="n">
        <v>0</v>
      </c>
      <c r="G125" s="136" t="n">
        <v>154.15</v>
      </c>
      <c r="H125" s="164" t="n">
        <v>0</v>
      </c>
      <c r="I125" s="39" t="n"/>
      <c r="J125" s="39">
        <f>SUM(F125:H125)</f>
        <v/>
      </c>
      <c r="K125" s="162" t="n">
        <v>135045.64</v>
      </c>
      <c r="L125" s="165" t="n">
        <v>203</v>
      </c>
      <c r="M125" s="57" t="n"/>
    </row>
    <row r="126" ht="17.25" customHeight="1">
      <c r="A126" s="35" t="n"/>
      <c r="B126" s="43" t="n"/>
      <c r="C126" s="15" t="n">
        <v>116</v>
      </c>
      <c r="D126" s="25" t="inlineStr">
        <is>
          <t>Uning Bersah</t>
        </is>
      </c>
      <c r="E126" s="24" t="inlineStr">
        <is>
          <t>Kopi Arabika</t>
        </is>
      </c>
      <c r="F126" s="136" t="n">
        <v>0</v>
      </c>
      <c r="G126" s="136" t="n">
        <v>43.26</v>
      </c>
      <c r="H126" s="164" t="n">
        <v>0</v>
      </c>
      <c r="I126" s="39" t="n"/>
      <c r="J126" s="39">
        <f>SUM(F126:H126)</f>
        <v/>
      </c>
      <c r="K126" s="162" t="n">
        <v>35069.47</v>
      </c>
      <c r="L126" s="165" t="n">
        <v>71</v>
      </c>
      <c r="M126" s="57" t="n"/>
    </row>
    <row r="127" ht="17.25" customHeight="1">
      <c r="A127" s="35" t="n"/>
      <c r="B127" s="43" t="n"/>
      <c r="C127" s="15" t="n">
        <v>117</v>
      </c>
      <c r="D127" s="25" t="inlineStr">
        <is>
          <t>Uning Teritit</t>
        </is>
      </c>
      <c r="E127" s="24" t="inlineStr">
        <is>
          <t>Kopi Arabika</t>
        </is>
      </c>
      <c r="F127" s="136" t="n">
        <v>0</v>
      </c>
      <c r="G127" s="166" t="n">
        <v>222.75</v>
      </c>
      <c r="H127" s="164" t="n">
        <v>0</v>
      </c>
      <c r="I127" s="39" t="n"/>
      <c r="J127" s="39">
        <f>SUM(F127:H127)</f>
        <v/>
      </c>
      <c r="K127" s="162" t="n">
        <v>189620.59</v>
      </c>
      <c r="L127" s="165" t="n">
        <v>236</v>
      </c>
      <c r="M127" s="57" t="n"/>
    </row>
    <row r="128" ht="17.25" customHeight="1">
      <c r="A128" s="35" t="n"/>
      <c r="B128" s="43" t="n"/>
      <c r="C128" s="90" t="n">
        <v>118</v>
      </c>
      <c r="D128" s="91" t="inlineStr">
        <is>
          <t>Bathin Wih Pongas</t>
        </is>
      </c>
      <c r="E128" s="24" t="inlineStr">
        <is>
          <t>Kopi Arabika</t>
        </is>
      </c>
      <c r="F128" s="167" t="n">
        <v>2.3</v>
      </c>
      <c r="G128" s="168" t="n">
        <v>17.4</v>
      </c>
      <c r="H128" s="169" t="n">
        <v>2.84</v>
      </c>
      <c r="I128" s="94" t="n"/>
      <c r="J128" s="94">
        <f>SUM(F128:H128)</f>
        <v/>
      </c>
      <c r="K128" s="170" t="n">
        <v>14089.51</v>
      </c>
      <c r="L128" s="165" t="n">
        <v>85</v>
      </c>
      <c r="M128" s="57" t="n"/>
    </row>
    <row r="129" ht="17.25" customHeight="1">
      <c r="A129" s="35" t="n"/>
      <c r="B129" s="43" t="n"/>
      <c r="C129" s="90" t="n">
        <v>119</v>
      </c>
      <c r="D129" s="91" t="inlineStr">
        <is>
          <t>Tingkem Asli</t>
        </is>
      </c>
      <c r="E129" s="24" t="inlineStr">
        <is>
          <t>Kopi Arabika</t>
        </is>
      </c>
      <c r="F129" s="167" t="n">
        <v>0</v>
      </c>
      <c r="G129" s="168" t="n">
        <v>541.6</v>
      </c>
      <c r="H129" s="169" t="n">
        <v>0</v>
      </c>
      <c r="I129" s="94" t="n"/>
      <c r="J129" s="171">
        <f>SUM(F129:H129)</f>
        <v/>
      </c>
      <c r="K129" s="170" t="n">
        <v>444816.01</v>
      </c>
      <c r="L129" s="165" t="n">
        <v>383</v>
      </c>
      <c r="M129" s="57" t="n"/>
    </row>
    <row r="130" ht="17.25" customHeight="1">
      <c r="A130" s="35" t="n"/>
      <c r="B130" s="43" t="n"/>
      <c r="C130" s="90" t="n">
        <v>120</v>
      </c>
      <c r="D130" s="91" t="inlineStr">
        <is>
          <t>Tingkem Benyer</t>
        </is>
      </c>
      <c r="E130" s="24" t="inlineStr">
        <is>
          <t>Kopi Arabika</t>
        </is>
      </c>
      <c r="F130" s="167" t="n">
        <v>0</v>
      </c>
      <c r="G130" s="168" t="n">
        <v>20.95</v>
      </c>
      <c r="H130" s="169" t="n">
        <v>0</v>
      </c>
      <c r="I130" s="94" t="n"/>
      <c r="J130" s="94">
        <f>SUM(F130:H130)</f>
        <v/>
      </c>
      <c r="K130" s="170" t="n">
        <v>17683.85</v>
      </c>
      <c r="L130" s="165" t="n">
        <v>130</v>
      </c>
      <c r="M130" s="57" t="n"/>
    </row>
    <row r="131" ht="17.25" customHeight="1">
      <c r="A131" s="35" t="n"/>
      <c r="B131" s="43" t="n"/>
      <c r="C131" s="90" t="n">
        <v>121</v>
      </c>
      <c r="D131" s="91" t="inlineStr">
        <is>
          <t>Tingkem Bersatu</t>
        </is>
      </c>
      <c r="E131" s="24" t="inlineStr">
        <is>
          <t>Kopi Arabika</t>
        </is>
      </c>
      <c r="F131" s="167" t="n">
        <v>7.07</v>
      </c>
      <c r="G131" s="168" t="n">
        <v>216.66</v>
      </c>
      <c r="H131" s="169" t="n">
        <v>4.34</v>
      </c>
      <c r="I131" s="94" t="n"/>
      <c r="J131" s="94">
        <f>SUM(F131:H131)</f>
        <v/>
      </c>
      <c r="K131" s="170" t="n">
        <v>182680.85</v>
      </c>
      <c r="L131" s="165" t="n">
        <v>249</v>
      </c>
      <c r="M131" s="57" t="n"/>
    </row>
    <row r="132" ht="17.25" customHeight="1">
      <c r="A132" s="35" t="n"/>
      <c r="B132" s="43" t="n"/>
      <c r="C132" s="15" t="n">
        <v>122</v>
      </c>
      <c r="D132" s="25" t="inlineStr">
        <is>
          <t>Blang Sentang</t>
        </is>
      </c>
      <c r="E132" s="24" t="inlineStr">
        <is>
          <t>Kopi Arabika</t>
        </is>
      </c>
      <c r="F132" s="136" t="n">
        <v>0</v>
      </c>
      <c r="G132" s="166" t="n">
        <v>29.69</v>
      </c>
      <c r="H132" s="164" t="n">
        <v>0</v>
      </c>
      <c r="I132" s="39" t="n"/>
      <c r="J132" s="39">
        <f>SUM(F132:H132)</f>
        <v/>
      </c>
      <c r="K132" s="162" t="n">
        <v>25859.35</v>
      </c>
      <c r="L132" s="165" t="n">
        <v>36</v>
      </c>
      <c r="M132" s="57" t="n"/>
    </row>
    <row r="133" ht="17.25" customHeight="1">
      <c r="A133" s="35" t="n"/>
      <c r="B133" s="43" t="n"/>
      <c r="C133" s="15" t="n">
        <v>123</v>
      </c>
      <c r="D133" s="25" t="inlineStr">
        <is>
          <t>Reje Guru</t>
        </is>
      </c>
      <c r="E133" s="24" t="inlineStr">
        <is>
          <t>Kopi Arabika</t>
        </is>
      </c>
      <c r="F133" s="136" t="n">
        <v>0</v>
      </c>
      <c r="G133" s="166" t="n">
        <v>65.65000000000001</v>
      </c>
      <c r="H133" s="164" t="n">
        <v>0</v>
      </c>
      <c r="I133" s="39" t="n"/>
      <c r="J133" s="39">
        <f>SUM(F133:H133)</f>
        <v/>
      </c>
      <c r="K133" s="162" t="n">
        <v>56181.57</v>
      </c>
      <c r="L133" s="165" t="n">
        <v>159</v>
      </c>
      <c r="M133" s="57" t="n"/>
    </row>
    <row r="134" ht="17.25" customHeight="1">
      <c r="A134" s="35" t="n"/>
      <c r="B134" s="43" t="n"/>
      <c r="C134" s="15" t="n">
        <v>124</v>
      </c>
      <c r="D134" s="25" t="inlineStr">
        <is>
          <t>Mutiara Baru</t>
        </is>
      </c>
      <c r="E134" s="24" t="inlineStr">
        <is>
          <t>Kopi Arabika</t>
        </is>
      </c>
      <c r="F134" s="136" t="n">
        <v>0</v>
      </c>
      <c r="G134" s="166" t="n">
        <v>105.82</v>
      </c>
      <c r="H134" s="164" t="n">
        <v>0</v>
      </c>
      <c r="I134" s="39" t="n"/>
      <c r="J134" s="39">
        <f>SUM(F134:H134)</f>
        <v/>
      </c>
      <c r="K134" s="162" t="n">
        <v>87318.24000000001</v>
      </c>
      <c r="L134" s="165" t="n">
        <v>160</v>
      </c>
      <c r="M134" s="57" t="n"/>
    </row>
    <row r="135" ht="17.25" customHeight="1">
      <c r="A135" s="35" t="n"/>
      <c r="B135" s="43" t="n"/>
      <c r="C135" s="15" t="n">
        <v>125</v>
      </c>
      <c r="D135" s="25" t="inlineStr">
        <is>
          <t>Bukit Bersatu</t>
        </is>
      </c>
      <c r="E135" s="24" t="inlineStr">
        <is>
          <t>Kopi Arabika</t>
        </is>
      </c>
      <c r="F135" s="136" t="n">
        <v>0</v>
      </c>
      <c r="G135" s="166" t="n">
        <v>78.13</v>
      </c>
      <c r="H135" s="164" t="n">
        <v>0</v>
      </c>
      <c r="I135" s="39" t="n"/>
      <c r="J135" s="39">
        <f>SUM(F135:H135)</f>
        <v/>
      </c>
      <c r="K135" s="162" t="n">
        <v>64236.65</v>
      </c>
      <c r="L135" s="165" t="n">
        <v>107</v>
      </c>
      <c r="M135" s="57" t="n"/>
    </row>
    <row r="136" ht="17.25" customHeight="1">
      <c r="A136" s="35" t="n"/>
      <c r="B136" s="43" t="n"/>
      <c r="C136" s="15" t="n">
        <v>126</v>
      </c>
      <c r="D136" s="25" t="inlineStr">
        <is>
          <t xml:space="preserve">Blang Ara </t>
        </is>
      </c>
      <c r="E136" s="24" t="inlineStr">
        <is>
          <t>Kopi Arabika</t>
        </is>
      </c>
      <c r="F136" s="136" t="n">
        <v>0</v>
      </c>
      <c r="G136" s="166" t="n">
        <v>72.81</v>
      </c>
      <c r="H136" s="164" t="n">
        <v>0</v>
      </c>
      <c r="I136" s="39" t="n"/>
      <c r="J136" s="39">
        <f>SUM(F136:H136)</f>
        <v/>
      </c>
      <c r="K136" s="162" t="n">
        <v>62520.35</v>
      </c>
      <c r="L136" s="165" t="n">
        <v>238</v>
      </c>
      <c r="M136" s="57" t="n"/>
    </row>
    <row r="137" ht="17.25" customHeight="1">
      <c r="A137" s="35" t="n"/>
      <c r="B137" s="43" t="n"/>
      <c r="C137" s="15" t="n">
        <v>127</v>
      </c>
      <c r="D137" s="91" t="inlineStr">
        <is>
          <t>Waq Pondok Sayur</t>
        </is>
      </c>
      <c r="E137" s="24" t="inlineStr">
        <is>
          <t>Kopi Arabika</t>
        </is>
      </c>
      <c r="F137" s="167" t="n">
        <v>73.02</v>
      </c>
      <c r="G137" s="168" t="n">
        <v>861.01</v>
      </c>
      <c r="H137" s="169" t="n">
        <v>72.95</v>
      </c>
      <c r="I137" s="94" t="n"/>
      <c r="J137" s="94">
        <f>SUM(F137:H137)</f>
        <v/>
      </c>
      <c r="K137" s="170" t="n">
        <v>718687.0600000001</v>
      </c>
      <c r="L137" s="165" t="n">
        <v>194</v>
      </c>
      <c r="M137" s="57" t="n"/>
    </row>
    <row r="138" ht="17.25" customHeight="1">
      <c r="A138" s="35" t="n"/>
      <c r="B138" s="43" t="n"/>
      <c r="C138" s="15" t="n">
        <v>128</v>
      </c>
      <c r="D138" s="25" t="inlineStr">
        <is>
          <t>Panji Mulia I</t>
        </is>
      </c>
      <c r="E138" s="24" t="inlineStr">
        <is>
          <t>Kopi Arabika</t>
        </is>
      </c>
      <c r="F138" s="136" t="n">
        <v>0</v>
      </c>
      <c r="G138" s="166" t="n">
        <v>120.85</v>
      </c>
      <c r="H138" s="164" t="n">
        <v>0</v>
      </c>
      <c r="I138" s="39" t="n"/>
      <c r="J138" s="39">
        <f>SUM(F138:H138)</f>
        <v/>
      </c>
      <c r="K138" s="162" t="n">
        <v>105050.17</v>
      </c>
      <c r="L138" s="165" t="n">
        <v>213</v>
      </c>
      <c r="M138" s="57" t="n"/>
    </row>
    <row r="139" ht="17.25" customHeight="1">
      <c r="A139" s="35" t="n"/>
      <c r="B139" s="43" t="n"/>
      <c r="C139" s="15" t="n">
        <v>129</v>
      </c>
      <c r="D139" s="25" t="inlineStr">
        <is>
          <t>Panji Mulia II</t>
        </is>
      </c>
      <c r="E139" s="24" t="inlineStr">
        <is>
          <t>Kopi Arabika</t>
        </is>
      </c>
      <c r="F139" s="136" t="n">
        <v>0</v>
      </c>
      <c r="G139" s="166" t="n">
        <v>108.62</v>
      </c>
      <c r="H139" s="164" t="n">
        <v>0</v>
      </c>
      <c r="I139" s="39" t="n"/>
      <c r="J139" s="39">
        <f>SUM(F139:H139)</f>
        <v/>
      </c>
      <c r="K139" s="162" t="n">
        <v>88435.13</v>
      </c>
      <c r="L139" s="165" t="n">
        <v>157</v>
      </c>
      <c r="M139" s="57" t="n"/>
    </row>
    <row r="140" ht="17.25" customHeight="1">
      <c r="A140" s="35" t="n"/>
      <c r="B140" s="43" t="n"/>
      <c r="C140" s="15" t="n">
        <v>130</v>
      </c>
      <c r="D140" s="25" t="inlineStr">
        <is>
          <t xml:space="preserve">Rembele </t>
        </is>
      </c>
      <c r="E140" s="24" t="inlineStr">
        <is>
          <t>Kopi Arabika</t>
        </is>
      </c>
      <c r="F140" s="136" t="n">
        <v>0</v>
      </c>
      <c r="G140" s="166" t="n">
        <v>352.43</v>
      </c>
      <c r="H140" s="164" t="n">
        <v>0</v>
      </c>
      <c r="I140" s="39" t="n"/>
      <c r="J140" s="39">
        <f>SUM(F140:H140)</f>
        <v/>
      </c>
      <c r="K140" s="162" t="n">
        <v>307702.96</v>
      </c>
      <c r="L140" s="165" t="n">
        <v>129</v>
      </c>
      <c r="M140" s="57" t="n"/>
    </row>
    <row r="141" ht="17.25" customHeight="1">
      <c r="A141" s="35" t="n"/>
      <c r="B141" s="43" t="n"/>
      <c r="C141" s="15" t="n">
        <v>131</v>
      </c>
      <c r="D141" s="25" t="inlineStr">
        <is>
          <t>Karang Rejo</t>
        </is>
      </c>
      <c r="E141" s="24" t="inlineStr">
        <is>
          <t>Kopi Arabika</t>
        </is>
      </c>
      <c r="F141" s="136" t="n">
        <v>14.73</v>
      </c>
      <c r="G141" s="166" t="n">
        <v>63.01</v>
      </c>
      <c r="H141" s="164" t="n">
        <v>17.85</v>
      </c>
      <c r="I141" s="39" t="n"/>
      <c r="J141" s="39">
        <f>SUM(F141:H141)</f>
        <v/>
      </c>
      <c r="K141" s="162" t="n">
        <v>54516.95</v>
      </c>
      <c r="L141" s="165" t="n">
        <v>55</v>
      </c>
      <c r="M141" s="57" t="n"/>
    </row>
    <row r="142" ht="17.25" customHeight="1">
      <c r="A142" s="35" t="n"/>
      <c r="B142" s="43" t="n"/>
      <c r="C142" s="15" t="n">
        <v>132</v>
      </c>
      <c r="D142" s="25" t="inlineStr">
        <is>
          <t>Kute Kering</t>
        </is>
      </c>
      <c r="E142" s="24" t="inlineStr">
        <is>
          <t>Kopi Arabika</t>
        </is>
      </c>
      <c r="F142" s="136" t="n">
        <v>1.13</v>
      </c>
      <c r="G142" s="166" t="n">
        <v>89.77</v>
      </c>
      <c r="H142" s="164" t="n">
        <v>0</v>
      </c>
      <c r="I142" s="39" t="n"/>
      <c r="J142" s="39">
        <f>SUM(F142:H142)</f>
        <v/>
      </c>
      <c r="K142" s="162" t="n">
        <v>73021.55</v>
      </c>
      <c r="L142" s="165" t="n">
        <v>135</v>
      </c>
      <c r="M142" s="57" t="n"/>
    </row>
    <row r="143" ht="17.25" customHeight="1">
      <c r="A143" s="35" t="n"/>
      <c r="B143" s="43" t="n"/>
      <c r="C143" s="15" t="n">
        <v>133</v>
      </c>
      <c r="D143" s="25" t="inlineStr">
        <is>
          <t>Kute Lintang</t>
        </is>
      </c>
      <c r="E143" s="24" t="inlineStr">
        <is>
          <t>Kopi Arabika</t>
        </is>
      </c>
      <c r="F143" s="136" t="n">
        <v>0</v>
      </c>
      <c r="G143" s="166" t="n">
        <v>61.27</v>
      </c>
      <c r="H143" s="164" t="n">
        <v>0</v>
      </c>
      <c r="I143" s="39" t="n"/>
      <c r="J143" s="39">
        <f>SUM(F143:H143)</f>
        <v/>
      </c>
      <c r="K143" s="162" t="n">
        <v>52273.15</v>
      </c>
      <c r="L143" s="165" t="n">
        <v>87</v>
      </c>
      <c r="M143" s="57" t="n"/>
    </row>
    <row r="144" ht="17.25" customHeight="1">
      <c r="A144" s="35" t="n"/>
      <c r="B144" s="43" t="n"/>
      <c r="C144" s="15" t="n">
        <v>134</v>
      </c>
      <c r="D144" s="25" t="inlineStr">
        <is>
          <t xml:space="preserve">Isaq Busur </t>
        </is>
      </c>
      <c r="E144" s="24" t="inlineStr">
        <is>
          <t>Kopi Arabika</t>
        </is>
      </c>
      <c r="F144" s="136" t="n">
        <v>0</v>
      </c>
      <c r="G144" s="166" t="n">
        <v>47.98</v>
      </c>
      <c r="H144" s="164" t="n">
        <v>0</v>
      </c>
      <c r="I144" s="39" t="n"/>
      <c r="J144" s="39">
        <f>SUM(F144:H144)</f>
        <v/>
      </c>
      <c r="K144" s="162" t="n">
        <v>42037.52</v>
      </c>
      <c r="L144" s="165" t="n">
        <v>109</v>
      </c>
      <c r="M144" s="57" t="n"/>
    </row>
    <row r="145" ht="17.25" customHeight="1">
      <c r="A145" s="35" t="n"/>
      <c r="B145" s="43" t="n"/>
      <c r="C145" s="15" t="n">
        <v>135</v>
      </c>
      <c r="D145" s="25" t="inlineStr">
        <is>
          <t>Meluem</t>
        </is>
      </c>
      <c r="E145" s="24" t="inlineStr">
        <is>
          <t>Kopi Arabika</t>
        </is>
      </c>
      <c r="F145" s="136" t="n">
        <v>0</v>
      </c>
      <c r="G145" s="166" t="n">
        <v>82.5</v>
      </c>
      <c r="H145" s="164" t="n">
        <v>0</v>
      </c>
      <c r="I145" s="39" t="n"/>
      <c r="J145" s="39">
        <f>SUM(F145:H145)</f>
        <v/>
      </c>
      <c r="K145" s="162" t="n">
        <v>66228.59</v>
      </c>
      <c r="L145" s="165" t="n">
        <v>213</v>
      </c>
      <c r="M145" s="57" t="n"/>
    </row>
    <row r="146" ht="17.25" customHeight="1">
      <c r="A146" s="35" t="n"/>
      <c r="B146" s="43" t="n"/>
      <c r="C146" s="15" t="n">
        <v>136</v>
      </c>
      <c r="D146" s="25" t="inlineStr">
        <is>
          <t>Bujang</t>
        </is>
      </c>
      <c r="E146" s="24" t="inlineStr">
        <is>
          <t>Kopi Arabika</t>
        </is>
      </c>
      <c r="F146" s="136" t="n">
        <v>0</v>
      </c>
      <c r="G146" s="166" t="n">
        <v>36.9</v>
      </c>
      <c r="H146" s="164" t="n">
        <v>0</v>
      </c>
      <c r="I146" s="39" t="n"/>
      <c r="J146" s="39">
        <f>SUM(F146:H146)</f>
        <v/>
      </c>
      <c r="K146" s="162" t="n">
        <v>30382.51</v>
      </c>
      <c r="L146" s="165" t="n">
        <v>67</v>
      </c>
      <c r="M146" s="57" t="n"/>
    </row>
    <row r="147" ht="17.25" customHeight="1">
      <c r="A147" s="35" t="n"/>
      <c r="B147" s="43" t="n"/>
      <c r="C147" s="15" t="n">
        <v>137</v>
      </c>
      <c r="D147" s="25" t="inlineStr">
        <is>
          <t>Godang</t>
        </is>
      </c>
      <c r="E147" s="24" t="inlineStr">
        <is>
          <t>Kopi Arabika</t>
        </is>
      </c>
      <c r="F147" s="136" t="n">
        <v>0</v>
      </c>
      <c r="G147" s="166" t="n">
        <v>27.49</v>
      </c>
      <c r="H147" s="164" t="n">
        <v>0</v>
      </c>
      <c r="I147" s="39" t="n"/>
      <c r="J147" s="39">
        <f>SUM(F147:H147)</f>
        <v/>
      </c>
      <c r="K147" s="162" t="n">
        <v>23892.47</v>
      </c>
      <c r="L147" s="165" t="n">
        <v>26</v>
      </c>
      <c r="M147" s="57" t="n"/>
    </row>
    <row r="148" ht="17.25" customHeight="1">
      <c r="A148" s="35" t="n"/>
      <c r="B148" s="43" t="n"/>
      <c r="C148" s="15" t="n">
        <v>138</v>
      </c>
      <c r="D148" s="25" t="inlineStr">
        <is>
          <t>Uring</t>
        </is>
      </c>
      <c r="E148" s="24" t="inlineStr">
        <is>
          <t>Kopi Arabika</t>
        </is>
      </c>
      <c r="F148" s="136" t="n">
        <v>1.6</v>
      </c>
      <c r="G148" s="166" t="n">
        <v>14.13</v>
      </c>
      <c r="H148" s="164" t="n">
        <v>3.19</v>
      </c>
      <c r="I148" s="39" t="n"/>
      <c r="J148" s="39">
        <f>SUM(F148:H148)</f>
        <v/>
      </c>
      <c r="K148" s="162" t="n">
        <v>11473.91</v>
      </c>
      <c r="L148" s="165" t="n">
        <v>16</v>
      </c>
      <c r="M148" s="57" t="n"/>
    </row>
    <row r="149" ht="17.25" customHeight="1">
      <c r="A149" s="35" t="n"/>
      <c r="B149" s="43" t="n"/>
      <c r="C149" s="15" t="n">
        <v>139</v>
      </c>
      <c r="D149" s="25" t="inlineStr">
        <is>
          <t>Kenawat Redelong</t>
        </is>
      </c>
      <c r="E149" s="24" t="inlineStr">
        <is>
          <t>Kopi Arabika</t>
        </is>
      </c>
      <c r="F149" s="136" t="n">
        <v>0</v>
      </c>
      <c r="G149" s="166" t="n">
        <v>124.33</v>
      </c>
      <c r="H149" s="164" t="n">
        <v>0</v>
      </c>
      <c r="I149" s="39" t="n"/>
      <c r="J149" s="39">
        <f>SUM(F149:H149)</f>
        <v/>
      </c>
      <c r="K149" s="162" t="n">
        <v>104631.43</v>
      </c>
      <c r="L149" s="165" t="n">
        <v>250</v>
      </c>
      <c r="M149" s="57" t="n"/>
    </row>
    <row r="150" ht="17.25" customHeight="1">
      <c r="A150" s="35" t="n"/>
      <c r="B150" s="43" t="n"/>
      <c r="C150" s="15" t="n">
        <v>140</v>
      </c>
      <c r="D150" s="25" t="inlineStr">
        <is>
          <t>Paya Gajah</t>
        </is>
      </c>
      <c r="E150" s="24" t="inlineStr">
        <is>
          <t>Kopi Arabika</t>
        </is>
      </c>
      <c r="F150" s="136" t="n">
        <v>0</v>
      </c>
      <c r="G150" s="166" t="n">
        <v>3.7</v>
      </c>
      <c r="H150" s="164" t="n">
        <v>0</v>
      </c>
      <c r="I150" s="39" t="n"/>
      <c r="J150" s="39">
        <f>SUM(F150:H150)</f>
        <v/>
      </c>
      <c r="K150" s="162" t="n">
        <v>3136.16</v>
      </c>
      <c r="L150" s="165" t="n">
        <v>1</v>
      </c>
      <c r="M150" s="57" t="n"/>
    </row>
    <row r="151" ht="17.25" customHeight="1">
      <c r="A151" s="35" t="n"/>
      <c r="B151" s="43" t="n"/>
      <c r="C151" s="15" t="n">
        <v>141</v>
      </c>
      <c r="D151" s="25" t="inlineStr">
        <is>
          <t>Pasar Simpang Tiga</t>
        </is>
      </c>
      <c r="E151" s="24" t="inlineStr">
        <is>
          <t>Kopi Arabika</t>
        </is>
      </c>
      <c r="F151" s="136" t="n">
        <v>0</v>
      </c>
      <c r="G151" s="166" t="n">
        <v>0</v>
      </c>
      <c r="H151" s="164" t="n">
        <v>0</v>
      </c>
      <c r="I151" s="39" t="n"/>
      <c r="J151" s="39">
        <f>SUM(F151:H151)</f>
        <v/>
      </c>
      <c r="K151" s="162" t="n">
        <v>0</v>
      </c>
      <c r="L151" s="165" t="n"/>
      <c r="M151" s="57" t="n"/>
    </row>
    <row r="152" ht="17.25" customHeight="1">
      <c r="A152" s="35" t="n"/>
      <c r="B152" s="43" t="n"/>
      <c r="C152" s="15" t="n">
        <v>142</v>
      </c>
      <c r="D152" s="25" t="inlineStr">
        <is>
          <t>Sedie Jadi</t>
        </is>
      </c>
      <c r="E152" s="24" t="inlineStr">
        <is>
          <t>Kopi Arabika</t>
        </is>
      </c>
      <c r="F152" s="136" t="n">
        <v>0</v>
      </c>
      <c r="G152" s="166" t="n">
        <v>137.17</v>
      </c>
      <c r="H152" s="164" t="n">
        <v>0</v>
      </c>
      <c r="I152" s="39" t="n"/>
      <c r="J152" s="39">
        <f>SUM(F152:H152)</f>
        <v/>
      </c>
      <c r="K152" s="162" t="n">
        <v>112143.87</v>
      </c>
      <c r="L152" s="165" t="n">
        <v>224</v>
      </c>
      <c r="M152" s="57" t="n"/>
    </row>
    <row r="153" ht="17.25" customHeight="1">
      <c r="A153" s="35" t="n"/>
      <c r="B153" s="43" t="n"/>
      <c r="C153" s="15" t="n">
        <v>143</v>
      </c>
      <c r="D153" s="25" t="inlineStr">
        <is>
          <t>Mupakat Jadi</t>
        </is>
      </c>
      <c r="E153" s="24" t="inlineStr">
        <is>
          <t>Kopi Arabika</t>
        </is>
      </c>
      <c r="F153" s="136" t="n">
        <v>0</v>
      </c>
      <c r="G153" s="166" t="n">
        <v>35.52</v>
      </c>
      <c r="H153" s="164" t="n">
        <v>0</v>
      </c>
      <c r="I153" s="39" t="n"/>
      <c r="J153" s="39">
        <f>SUM(F153:H153)</f>
        <v/>
      </c>
      <c r="K153" s="162" t="n">
        <v>30906.12</v>
      </c>
      <c r="L153" s="165" t="n">
        <v>64</v>
      </c>
      <c r="M153" s="57" t="n"/>
    </row>
    <row r="154" ht="17.25" customHeight="1">
      <c r="A154" s="125" t="inlineStr">
        <is>
          <t>Jumlah</t>
        </is>
      </c>
      <c r="B154" s="140" t="n"/>
      <c r="C154" s="140" t="n"/>
      <c r="D154" s="135" t="n"/>
      <c r="E154" s="126" t="n"/>
      <c r="F154" s="30">
        <f>SUM(F114:F153)</f>
        <v/>
      </c>
      <c r="G154" s="30">
        <f>SUM(G114:G153)</f>
        <v/>
      </c>
      <c r="H154" s="30">
        <f>SUM(H114:H153)</f>
        <v/>
      </c>
      <c r="I154" s="30" t="n"/>
      <c r="J154" s="31">
        <f>SUM(J114:J153)</f>
        <v/>
      </c>
      <c r="K154" s="30">
        <f>SUM(K114:K153)</f>
        <v/>
      </c>
      <c r="L154" s="30">
        <f>SUM(L114:L153)</f>
        <v/>
      </c>
      <c r="M154" s="32" t="n"/>
    </row>
    <row r="155" ht="17.25" customHeight="1">
      <c r="A155" s="35" t="inlineStr">
        <is>
          <t>VII.</t>
        </is>
      </c>
      <c r="B155" s="36" t="inlineStr">
        <is>
          <t>Bener Kelipah</t>
        </is>
      </c>
      <c r="C155" s="15" t="n">
        <v>144</v>
      </c>
      <c r="D155" s="98" t="inlineStr">
        <is>
          <t>Nosar Baru</t>
        </is>
      </c>
      <c r="E155" s="24" t="inlineStr">
        <is>
          <t>Kopi Arabika</t>
        </is>
      </c>
      <c r="F155" s="164" t="n">
        <v>10.89</v>
      </c>
      <c r="G155" s="164" t="n">
        <v>131.99</v>
      </c>
      <c r="H155" s="162" t="n">
        <v>5.52</v>
      </c>
      <c r="I155" s="43" t="n"/>
      <c r="J155" s="79">
        <f>SUM(F155:H155)</f>
        <v/>
      </c>
      <c r="K155" s="172" t="n">
        <v>106515.33</v>
      </c>
      <c r="L155" s="148" t="n">
        <v>110</v>
      </c>
      <c r="M155" s="57" t="n"/>
    </row>
    <row r="156" ht="17.25" customHeight="1">
      <c r="A156" s="35" t="n"/>
      <c r="B156" s="43" t="n"/>
      <c r="C156" s="15" t="n">
        <v>145</v>
      </c>
      <c r="D156" s="91" t="inlineStr">
        <is>
          <t>Nosar Tawar Jaya</t>
        </is>
      </c>
      <c r="E156" s="24" t="inlineStr">
        <is>
          <t>Kopi Arabika</t>
        </is>
      </c>
      <c r="F156" s="164" t="n">
        <v>4.75</v>
      </c>
      <c r="G156" s="164" t="n">
        <v>63.37</v>
      </c>
      <c r="H156" s="162" t="n">
        <v>1.07</v>
      </c>
      <c r="I156" s="43" t="n"/>
      <c r="J156" s="79">
        <f>SUM(F156:H156)</f>
        <v/>
      </c>
      <c r="K156" s="172" t="n">
        <v>52053.34</v>
      </c>
      <c r="L156" s="148" t="n">
        <v>88</v>
      </c>
      <c r="M156" s="173" t="n"/>
    </row>
    <row r="157" ht="17.25" customHeight="1">
      <c r="A157" s="35" t="n"/>
      <c r="B157" s="43" t="n"/>
      <c r="C157" s="15" t="n">
        <v>146</v>
      </c>
      <c r="D157" s="91" t="inlineStr">
        <is>
          <t>Bandar Jaya</t>
        </is>
      </c>
      <c r="E157" s="24" t="inlineStr">
        <is>
          <t>Kopi Arabika</t>
        </is>
      </c>
      <c r="F157" s="164" t="n">
        <v>6.22</v>
      </c>
      <c r="G157" s="164" t="n">
        <v>92.59</v>
      </c>
      <c r="H157" s="162" t="n">
        <v>2.08</v>
      </c>
      <c r="I157" s="43" t="n"/>
      <c r="J157" s="79">
        <f>SUM(F157:H157)</f>
        <v/>
      </c>
      <c r="K157" s="172" t="n">
        <v>79659.71000000001</v>
      </c>
      <c r="L157" s="148" t="n">
        <v>132</v>
      </c>
      <c r="M157" s="57" t="n"/>
    </row>
    <row r="158" ht="17.25" customHeight="1">
      <c r="A158" s="35" t="n"/>
      <c r="B158" s="43" t="n"/>
      <c r="C158" s="15" t="n">
        <v>147</v>
      </c>
      <c r="D158" s="91" t="inlineStr">
        <is>
          <t>Lot Bener Kelpah</t>
        </is>
      </c>
      <c r="E158" s="24" t="inlineStr">
        <is>
          <t>Kopi Arabika</t>
        </is>
      </c>
      <c r="F158" s="164" t="n">
        <v>11.24</v>
      </c>
      <c r="G158" s="164" t="n">
        <v>65.27</v>
      </c>
      <c r="H158" s="162" t="n">
        <v>0.54</v>
      </c>
      <c r="I158" s="43" t="n"/>
      <c r="J158" s="79">
        <f>SUM(F158:H158)</f>
        <v/>
      </c>
      <c r="K158" s="172" t="n">
        <v>53801.16</v>
      </c>
      <c r="L158" s="148" t="n">
        <v>102</v>
      </c>
      <c r="M158" s="57" t="n"/>
    </row>
    <row r="159" ht="17.25" customHeight="1">
      <c r="A159" s="35" t="n"/>
      <c r="B159" s="43" t="n"/>
      <c r="C159" s="15" t="n">
        <v>148</v>
      </c>
      <c r="D159" s="91" t="inlineStr">
        <is>
          <t>Bener Kelipah Utara</t>
        </is>
      </c>
      <c r="E159" s="24" t="inlineStr">
        <is>
          <t>Kopi Arabika</t>
        </is>
      </c>
      <c r="F159" s="164" t="n">
        <v>11.38</v>
      </c>
      <c r="G159" s="164" t="n">
        <v>147.42</v>
      </c>
      <c r="H159" s="162" t="n">
        <v>0.53</v>
      </c>
      <c r="I159" s="43" t="n"/>
      <c r="J159" s="79">
        <f>SUM(F159:H159)</f>
        <v/>
      </c>
      <c r="K159" s="172" t="n">
        <v>124252.92</v>
      </c>
      <c r="L159" s="148" t="n">
        <v>209</v>
      </c>
      <c r="M159" s="57" t="n"/>
    </row>
    <row r="160" ht="17.25" customHeight="1">
      <c r="A160" s="35" t="n"/>
      <c r="B160" s="43" t="n"/>
      <c r="C160" s="15" t="n">
        <v>149</v>
      </c>
      <c r="D160" s="91" t="inlineStr">
        <is>
          <t>Bener Kelipah Selatan</t>
        </is>
      </c>
      <c r="E160" s="24" t="inlineStr">
        <is>
          <t>Kopi Arabika</t>
        </is>
      </c>
      <c r="F160" s="164" t="n">
        <v>5.36</v>
      </c>
      <c r="G160" s="164" t="n">
        <v>61.25</v>
      </c>
      <c r="H160" s="162" t="n">
        <v>2.18</v>
      </c>
      <c r="I160" s="43" t="n"/>
      <c r="J160" s="79">
        <f>SUM(F160:H160)</f>
        <v/>
      </c>
      <c r="K160" s="172" t="n">
        <v>49252.64</v>
      </c>
      <c r="L160" s="148" t="n">
        <v>111</v>
      </c>
      <c r="M160" s="57" t="n"/>
    </row>
    <row r="161" ht="17.25" customHeight="1">
      <c r="A161" s="35" t="n"/>
      <c r="B161" s="43" t="n"/>
      <c r="C161" s="15" t="n">
        <v>150</v>
      </c>
      <c r="D161" s="91" t="inlineStr">
        <is>
          <t>Gunung Musara</t>
        </is>
      </c>
      <c r="E161" s="24" t="inlineStr">
        <is>
          <t>Kopi Arabika</t>
        </is>
      </c>
      <c r="F161" s="164" t="n">
        <v>8.199999999999999</v>
      </c>
      <c r="G161" s="164" t="n">
        <v>81.45</v>
      </c>
      <c r="H161" s="162" t="n">
        <v>1.05</v>
      </c>
      <c r="I161" s="43" t="n"/>
      <c r="J161" s="79">
        <f>SUM(F161:H161)</f>
        <v/>
      </c>
      <c r="K161" s="172" t="n">
        <v>70853.35000000001</v>
      </c>
      <c r="L161" s="148" t="n">
        <v>97</v>
      </c>
      <c r="M161" s="57" t="n"/>
    </row>
    <row r="162" ht="17.25" customHeight="1">
      <c r="A162" s="35" t="n"/>
      <c r="B162" s="43" t="n"/>
      <c r="C162" s="15" t="n">
        <v>151</v>
      </c>
      <c r="D162" s="91" t="inlineStr">
        <is>
          <t>Jongok Meluem</t>
        </is>
      </c>
      <c r="E162" s="24" t="inlineStr">
        <is>
          <t>Kopi Arabika</t>
        </is>
      </c>
      <c r="F162" s="164" t="n">
        <v>8.27</v>
      </c>
      <c r="G162" s="164" t="n">
        <v>125.92</v>
      </c>
      <c r="H162" s="162" t="n">
        <v>0.55</v>
      </c>
      <c r="I162" s="43" t="n"/>
      <c r="J162" s="79">
        <f>SUM(F162:H162)</f>
        <v/>
      </c>
      <c r="K162" s="172" t="n">
        <v>106084.31</v>
      </c>
      <c r="L162" s="148" t="n">
        <v>77</v>
      </c>
      <c r="M162" s="57" t="n"/>
    </row>
    <row r="163" ht="17.25" customHeight="1">
      <c r="A163" s="35" t="n"/>
      <c r="B163" s="43" t="n"/>
      <c r="C163" s="15" t="n">
        <v>152</v>
      </c>
      <c r="D163" s="91" t="inlineStr">
        <is>
          <t>Kala Tenang</t>
        </is>
      </c>
      <c r="E163" s="24" t="inlineStr">
        <is>
          <t>Kopi Arabika</t>
        </is>
      </c>
      <c r="F163" s="164" t="n">
        <v>26.15</v>
      </c>
      <c r="G163" s="164" t="n">
        <v>166.37</v>
      </c>
      <c r="H163" s="162" t="n">
        <v>1.43</v>
      </c>
      <c r="I163" s="43" t="n"/>
      <c r="J163" s="79">
        <f>SUM(F163:H163)</f>
        <v/>
      </c>
      <c r="K163" s="172" t="n">
        <v>140516.94</v>
      </c>
      <c r="L163" s="148" t="n">
        <v>140</v>
      </c>
      <c r="M163" s="57" t="n"/>
    </row>
    <row r="164" ht="17.25" customHeight="1">
      <c r="A164" s="35" t="n"/>
      <c r="B164" s="43" t="n"/>
      <c r="C164" s="15" t="n">
        <v>153</v>
      </c>
      <c r="D164" s="91" t="inlineStr">
        <is>
          <t>Bintang Musara</t>
        </is>
      </c>
      <c r="E164" s="24" t="inlineStr">
        <is>
          <t>Kopi Arabika</t>
        </is>
      </c>
      <c r="F164" s="164" t="n">
        <v>12.88</v>
      </c>
      <c r="G164" s="164" t="n">
        <v>150.32</v>
      </c>
      <c r="H164" s="162" t="n">
        <v>1.56</v>
      </c>
      <c r="I164" s="43" t="n"/>
      <c r="J164" s="79">
        <f>SUM(F164:H164)</f>
        <v/>
      </c>
      <c r="K164" s="172" t="n">
        <v>122080.81</v>
      </c>
      <c r="L164" s="148" t="n">
        <v>168</v>
      </c>
      <c r="M164" s="57" t="n"/>
    </row>
    <row r="165" ht="17.25" customHeight="1">
      <c r="A165" s="35" t="n"/>
      <c r="B165" s="43" t="n"/>
      <c r="C165" s="15" t="n">
        <v>154</v>
      </c>
      <c r="D165" s="91" t="inlineStr">
        <is>
          <t>Suku Bener</t>
        </is>
      </c>
      <c r="E165" s="24" t="inlineStr">
        <is>
          <t>Kopi Arabika</t>
        </is>
      </c>
      <c r="F165" s="164" t="n">
        <v>0</v>
      </c>
      <c r="G165" s="164" t="n">
        <v>72.25</v>
      </c>
      <c r="H165" s="162" t="n">
        <v>0</v>
      </c>
      <c r="I165" s="43" t="n"/>
      <c r="J165" s="79">
        <f>SUM(F165:H165)</f>
        <v/>
      </c>
      <c r="K165" s="172" t="n">
        <v>62950.85</v>
      </c>
      <c r="L165" s="148" t="n">
        <v>91</v>
      </c>
      <c r="M165" s="57" t="n"/>
    </row>
    <row r="166" ht="17.25" customHeight="1">
      <c r="A166" s="35" t="n"/>
      <c r="B166" s="43" t="n"/>
      <c r="C166" s="15" t="n">
        <v>155</v>
      </c>
      <c r="D166" s="91" t="inlineStr">
        <is>
          <t>Bener Lukup</t>
        </is>
      </c>
      <c r="E166" s="24" t="inlineStr">
        <is>
          <t>Kopi Arabika</t>
        </is>
      </c>
      <c r="F166" s="164" t="n">
        <v>0</v>
      </c>
      <c r="G166" s="164" t="n">
        <v>68.84</v>
      </c>
      <c r="H166" s="162" t="n">
        <v>0</v>
      </c>
      <c r="I166" s="43" t="n"/>
      <c r="J166" s="79">
        <f>SUM(F166:H166)</f>
        <v/>
      </c>
      <c r="K166" s="172" t="n">
        <v>59280.57</v>
      </c>
      <c r="L166" s="148" t="n">
        <v>138</v>
      </c>
      <c r="M166" s="57" t="n"/>
    </row>
    <row r="167" ht="17.25" customHeight="1">
      <c r="A167" s="125" t="inlineStr">
        <is>
          <t>Jumlah</t>
        </is>
      </c>
      <c r="B167" s="140" t="n"/>
      <c r="C167" s="140" t="n"/>
      <c r="D167" s="135" t="n"/>
      <c r="E167" s="126" t="n"/>
      <c r="F167" s="30">
        <f>SUM(F155:F166)</f>
        <v/>
      </c>
      <c r="G167" s="30">
        <f>SUM(G155:G166)</f>
        <v/>
      </c>
      <c r="H167" s="30">
        <f>SUM(H155:H166)</f>
        <v/>
      </c>
      <c r="I167" s="30" t="n"/>
      <c r="J167" s="31">
        <f>SUM(J155:J166)</f>
        <v/>
      </c>
      <c r="K167" s="30">
        <f>SUM(K155:K166)</f>
        <v/>
      </c>
      <c r="L167" s="30">
        <f>SUM(L155:L166)</f>
        <v/>
      </c>
      <c r="M167" s="32" t="n"/>
      <c r="N167" s="141" t="n"/>
    </row>
    <row r="168" ht="17.25" customHeight="1">
      <c r="A168" s="35" t="inlineStr">
        <is>
          <t>VIII.</t>
        </is>
      </c>
      <c r="B168" s="36" t="inlineStr">
        <is>
          <t>Bandar</t>
        </is>
      </c>
      <c r="C168" s="15" t="n">
        <v>156</v>
      </c>
      <c r="D168" s="23" t="inlineStr">
        <is>
          <t>Pondok Baru</t>
        </is>
      </c>
      <c r="E168" s="24" t="inlineStr">
        <is>
          <t>Kopi Arabika</t>
        </is>
      </c>
      <c r="F168" s="174" t="n">
        <v>1.12</v>
      </c>
      <c r="G168" s="174" t="n">
        <v>20.37</v>
      </c>
      <c r="H168" s="174" t="n">
        <v>3.92</v>
      </c>
      <c r="I168" s="101" t="n"/>
      <c r="J168" s="79">
        <f>SUM(F168:H168)</f>
        <v/>
      </c>
      <c r="K168" s="172" t="n">
        <v>18816.98</v>
      </c>
      <c r="L168" s="102" t="n">
        <v>13</v>
      </c>
      <c r="M168" s="57" t="n"/>
      <c r="N168" s="175" t="n"/>
    </row>
    <row r="169" ht="17.25" customHeight="1">
      <c r="A169" s="35" t="n"/>
      <c r="B169" s="43" t="n"/>
      <c r="C169" s="15" t="n">
        <v>157</v>
      </c>
      <c r="D169" s="23" t="inlineStr">
        <is>
          <t>Janarata</t>
        </is>
      </c>
      <c r="E169" s="24" t="inlineStr">
        <is>
          <t>Kopi Arabika</t>
        </is>
      </c>
      <c r="F169" s="174" t="n">
        <v>0</v>
      </c>
      <c r="G169" s="174" t="n">
        <v>8.01</v>
      </c>
      <c r="H169" s="174" t="n">
        <v>2.91</v>
      </c>
      <c r="I169" s="101" t="n"/>
      <c r="J169" s="79">
        <f>SUM(F169:H169)</f>
        <v/>
      </c>
      <c r="K169" s="172" t="n">
        <v>7308.66</v>
      </c>
      <c r="L169" s="102" t="n">
        <v>6</v>
      </c>
      <c r="M169" s="57" t="n"/>
      <c r="N169" s="1" t="n"/>
    </row>
    <row r="170" ht="17.25" customHeight="1">
      <c r="A170" s="35" t="n"/>
      <c r="B170" s="43" t="n"/>
      <c r="C170" s="15" t="n">
        <v>158</v>
      </c>
      <c r="D170" s="23" t="inlineStr">
        <is>
          <t>Mutiara</t>
        </is>
      </c>
      <c r="E170" s="24" t="inlineStr">
        <is>
          <t>Kopi Arabika</t>
        </is>
      </c>
      <c r="F170" s="174" t="n">
        <v>0</v>
      </c>
      <c r="G170" s="174" t="n">
        <v>4.49</v>
      </c>
      <c r="H170" s="174" t="n">
        <v>1.11</v>
      </c>
      <c r="I170" s="101" t="n"/>
      <c r="J170" s="79">
        <f>SUM(F170:H170)</f>
        <v/>
      </c>
      <c r="K170" s="172" t="n">
        <v>4365.1</v>
      </c>
      <c r="L170" s="102" t="n">
        <v>1</v>
      </c>
      <c r="M170" s="57" t="n"/>
    </row>
    <row r="171" ht="17.25" customHeight="1">
      <c r="A171" s="35" t="n"/>
      <c r="B171" s="43" t="n"/>
      <c r="C171" s="15" t="n">
        <v>159</v>
      </c>
      <c r="D171" s="23" t="inlineStr">
        <is>
          <t>Puja Mulia</t>
        </is>
      </c>
      <c r="E171" s="24" t="inlineStr">
        <is>
          <t>Kopi Arabika</t>
        </is>
      </c>
      <c r="F171" s="174" t="n">
        <v>0</v>
      </c>
      <c r="G171" s="174" t="n">
        <v>3.29</v>
      </c>
      <c r="H171" s="174" t="n">
        <v>4.4</v>
      </c>
      <c r="I171" s="101" t="n"/>
      <c r="J171" s="79">
        <f>SUM(F171:H171)</f>
        <v/>
      </c>
      <c r="K171" s="172" t="n">
        <v>3124.68</v>
      </c>
      <c r="L171" s="102" t="n">
        <v>8</v>
      </c>
      <c r="M171" s="57" t="n"/>
    </row>
    <row r="172" ht="17.25" customHeight="1">
      <c r="A172" s="35" t="n"/>
      <c r="B172" s="43" t="n"/>
      <c r="C172" s="15" t="n">
        <v>160</v>
      </c>
      <c r="D172" s="23" t="inlineStr">
        <is>
          <t>Purwosari</t>
        </is>
      </c>
      <c r="E172" s="24" t="inlineStr">
        <is>
          <t>Kopi Arabika</t>
        </is>
      </c>
      <c r="F172" s="174" t="n">
        <v>0</v>
      </c>
      <c r="G172" s="174" t="n">
        <v>30.31</v>
      </c>
      <c r="H172" s="174" t="n">
        <v>6.55</v>
      </c>
      <c r="I172" s="101" t="n"/>
      <c r="J172" s="79">
        <f>SUM(F172:H172)</f>
        <v/>
      </c>
      <c r="K172" s="172" t="n">
        <v>29743.64</v>
      </c>
      <c r="L172" s="102" t="n">
        <v>8</v>
      </c>
      <c r="M172" s="57" t="n"/>
    </row>
    <row r="173" ht="17.25" customHeight="1">
      <c r="A173" s="35" t="n"/>
      <c r="B173" s="43" t="n"/>
      <c r="C173" s="15" t="n">
        <v>161</v>
      </c>
      <c r="D173" s="23" t="inlineStr">
        <is>
          <t>Tawar Sedenge</t>
        </is>
      </c>
      <c r="E173" s="24" t="inlineStr">
        <is>
          <t>Kopi Arabika</t>
        </is>
      </c>
      <c r="F173" s="174" t="n">
        <v>2.82</v>
      </c>
      <c r="G173" s="174" t="n">
        <v>20.9</v>
      </c>
      <c r="H173" s="174" t="n">
        <v>4.5</v>
      </c>
      <c r="I173" s="101" t="n"/>
      <c r="J173" s="79">
        <f>SUM(F173:H173)</f>
        <v/>
      </c>
      <c r="K173" s="172" t="n">
        <v>20481.25</v>
      </c>
      <c r="L173" s="102" t="n">
        <v>35</v>
      </c>
      <c r="M173" s="57" t="n"/>
    </row>
    <row r="174" ht="17.25" customHeight="1">
      <c r="A174" s="35" t="n"/>
      <c r="B174" s="43" t="n"/>
      <c r="C174" s="15" t="n">
        <v>162</v>
      </c>
      <c r="D174" s="23" t="inlineStr">
        <is>
          <t>Simpang Utama</t>
        </is>
      </c>
      <c r="E174" s="24" t="inlineStr">
        <is>
          <t>Kopi Arabika</t>
        </is>
      </c>
      <c r="F174" s="174" t="n">
        <v>1.12</v>
      </c>
      <c r="G174" s="174" t="n">
        <v>11.27</v>
      </c>
      <c r="H174" s="174" t="n">
        <v>0</v>
      </c>
      <c r="I174" s="101" t="n"/>
      <c r="J174" s="79">
        <f>SUM(F174:H174)</f>
        <v/>
      </c>
      <c r="K174" s="172" t="n">
        <v>10940.43</v>
      </c>
      <c r="L174" s="102" t="n">
        <v>33</v>
      </c>
      <c r="M174" s="57" t="n"/>
    </row>
    <row r="175" ht="17.25" customHeight="1">
      <c r="A175" s="35" t="n"/>
      <c r="B175" s="43" t="n"/>
      <c r="C175" s="15" t="n">
        <v>163</v>
      </c>
      <c r="D175" s="23" t="inlineStr">
        <is>
          <t>Makmur Sentosa</t>
        </is>
      </c>
      <c r="E175" s="24" t="inlineStr">
        <is>
          <t>Kopi Arabika</t>
        </is>
      </c>
      <c r="F175" s="174" t="n">
        <v>6.42</v>
      </c>
      <c r="G175" s="174" t="n">
        <v>22.54</v>
      </c>
      <c r="H175" s="174" t="n">
        <v>24.08</v>
      </c>
      <c r="I175" s="101" t="n"/>
      <c r="J175" s="79">
        <f>SUM(F175:H175)</f>
        <v/>
      </c>
      <c r="K175" s="172" t="n">
        <v>21741.74</v>
      </c>
      <c r="L175" s="102" t="n">
        <v>70</v>
      </c>
      <c r="M175" s="57" t="n"/>
    </row>
    <row r="176" ht="17.25" customHeight="1">
      <c r="A176" s="35" t="n"/>
      <c r="B176" s="43" t="n"/>
      <c r="C176" s="15" t="n">
        <v>164</v>
      </c>
      <c r="D176" s="23" t="inlineStr">
        <is>
          <t>Pondok Gajah</t>
        </is>
      </c>
      <c r="E176" s="24" t="inlineStr">
        <is>
          <t>Kopi Arabika</t>
        </is>
      </c>
      <c r="F176" s="174" t="n">
        <v>4.43</v>
      </c>
      <c r="G176" s="174" t="n">
        <v>74.36</v>
      </c>
      <c r="H176" s="174" t="n">
        <v>11.89</v>
      </c>
      <c r="I176" s="101" t="n"/>
      <c r="J176" s="79">
        <f>SUM(F176:H176)</f>
        <v/>
      </c>
      <c r="K176" s="172" t="n">
        <v>73108.08</v>
      </c>
      <c r="L176" s="102" t="n">
        <v>188</v>
      </c>
      <c r="M176" s="57" t="n"/>
    </row>
    <row r="177" ht="17.25" customHeight="1">
      <c r="A177" s="35" t="n"/>
      <c r="B177" s="43" t="n"/>
      <c r="C177" s="15" t="n">
        <v>165</v>
      </c>
      <c r="D177" s="23" t="inlineStr">
        <is>
          <t>Bathin Baru</t>
        </is>
      </c>
      <c r="E177" s="24" t="inlineStr">
        <is>
          <t>Kopi Arabika</t>
        </is>
      </c>
      <c r="F177" s="174" t="n">
        <v>23.84</v>
      </c>
      <c r="G177" s="174" t="n">
        <v>244.05</v>
      </c>
      <c r="H177" s="174" t="n">
        <v>6.65</v>
      </c>
      <c r="I177" s="101" t="n"/>
      <c r="J177" s="79">
        <f>SUM(F177:H177)</f>
        <v/>
      </c>
      <c r="K177" s="172" t="n">
        <v>235800.99</v>
      </c>
      <c r="L177" s="102" t="n">
        <v>97</v>
      </c>
      <c r="M177" s="57" t="n"/>
    </row>
    <row r="178" ht="17.25" customHeight="1">
      <c r="A178" s="35" t="n"/>
      <c r="B178" s="43" t="n"/>
      <c r="C178" s="15" t="n">
        <v>166</v>
      </c>
      <c r="D178" s="23" t="inlineStr">
        <is>
          <t>Suku Wih Ilang</t>
        </is>
      </c>
      <c r="E178" s="24" t="inlineStr">
        <is>
          <t>Kopi Arabika</t>
        </is>
      </c>
      <c r="F178" s="174" t="n">
        <v>0</v>
      </c>
      <c r="G178" s="174" t="n">
        <v>51.78</v>
      </c>
      <c r="H178" s="174" t="n">
        <v>51.52</v>
      </c>
      <c r="I178" s="101" t="n"/>
      <c r="J178" s="79">
        <f>SUM(F178:H178)</f>
        <v/>
      </c>
      <c r="K178" s="172" t="n">
        <v>47691.89</v>
      </c>
      <c r="L178" s="102" t="n">
        <v>115</v>
      </c>
      <c r="M178" s="57" t="n"/>
    </row>
    <row r="179" ht="17.25" customHeight="1">
      <c r="A179" s="35" t="n"/>
      <c r="B179" s="43" t="n"/>
      <c r="C179" s="15" t="n">
        <v>167</v>
      </c>
      <c r="D179" s="23" t="inlineStr">
        <is>
          <t>Gele Semayang</t>
        </is>
      </c>
      <c r="E179" s="24" t="inlineStr">
        <is>
          <t>Kopi Arabika</t>
        </is>
      </c>
      <c r="F179" s="174" t="n">
        <v>0</v>
      </c>
      <c r="G179" s="174" t="n">
        <v>180.96</v>
      </c>
      <c r="H179" s="174" t="n">
        <v>0</v>
      </c>
      <c r="I179" s="101" t="n"/>
      <c r="J179" s="79">
        <f>SUM(F179:H179)</f>
        <v/>
      </c>
      <c r="K179" s="172" t="n">
        <v>165414.6</v>
      </c>
      <c r="L179" s="102" t="n">
        <v>92</v>
      </c>
      <c r="M179" s="57" t="n"/>
    </row>
    <row r="180" ht="17.25" customHeight="1">
      <c r="A180" s="35" t="n"/>
      <c r="B180" s="43" t="n"/>
      <c r="C180" s="15" t="n">
        <v>168</v>
      </c>
      <c r="D180" s="23" t="inlineStr">
        <is>
          <t>Bukit Wih Ilang</t>
        </is>
      </c>
      <c r="E180" s="24" t="inlineStr">
        <is>
          <t>Kopi Arabika</t>
        </is>
      </c>
      <c r="F180" s="174" t="n">
        <v>5.68</v>
      </c>
      <c r="G180" s="174" t="n">
        <v>136.63</v>
      </c>
      <c r="H180" s="174" t="n">
        <v>12.48</v>
      </c>
      <c r="I180" s="101" t="n"/>
      <c r="J180" s="79">
        <f>SUM(F180:H180)</f>
        <v/>
      </c>
      <c r="K180" s="172" t="n">
        <v>133254.43</v>
      </c>
      <c r="L180" s="102" t="n">
        <v>240</v>
      </c>
      <c r="M180" s="57" t="n"/>
    </row>
    <row r="181" ht="17.25" customHeight="1">
      <c r="A181" s="35" t="n"/>
      <c r="B181" s="43" t="n"/>
      <c r="C181" s="15" t="n">
        <v>169</v>
      </c>
      <c r="D181" s="23" t="inlineStr">
        <is>
          <t>Bahgie Bertona</t>
        </is>
      </c>
      <c r="E181" s="24" t="inlineStr">
        <is>
          <t>Kopi Arabika</t>
        </is>
      </c>
      <c r="F181" s="174" t="n">
        <v>3.23</v>
      </c>
      <c r="G181" s="174" t="n">
        <v>11.96</v>
      </c>
      <c r="H181" s="174" t="n">
        <v>4.32</v>
      </c>
      <c r="I181" s="101" t="n"/>
      <c r="J181" s="79">
        <f>SUM(F181:H181)</f>
        <v/>
      </c>
      <c r="K181" s="172" t="n">
        <v>11564.35</v>
      </c>
      <c r="L181" s="102" t="n">
        <v>43</v>
      </c>
      <c r="M181" s="57" t="n"/>
    </row>
    <row r="182" ht="17.25" customHeight="1">
      <c r="A182" s="35" t="n"/>
      <c r="B182" s="43" t="n"/>
      <c r="C182" s="15" t="n">
        <v>170</v>
      </c>
      <c r="D182" s="23" t="inlineStr">
        <is>
          <t>Pondok Ulung</t>
        </is>
      </c>
      <c r="E182" s="24" t="inlineStr">
        <is>
          <t>Kopi Arabika</t>
        </is>
      </c>
      <c r="F182" s="174" t="n">
        <v>2.24</v>
      </c>
      <c r="G182" s="174" t="n">
        <v>158.74</v>
      </c>
      <c r="H182" s="174" t="n">
        <v>5.44</v>
      </c>
      <c r="I182" s="101" t="n"/>
      <c r="J182" s="79">
        <f>SUM(F182:H182)</f>
        <v/>
      </c>
      <c r="K182" s="172" t="n">
        <v>147415.66</v>
      </c>
      <c r="L182" s="102" t="n">
        <v>89</v>
      </c>
      <c r="M182" s="57" t="n"/>
    </row>
    <row r="183" ht="17.25" customHeight="1">
      <c r="A183" s="35" t="n"/>
      <c r="B183" s="43" t="n"/>
      <c r="C183" s="15" t="n">
        <v>171</v>
      </c>
      <c r="D183" s="23" t="inlineStr">
        <is>
          <t>Kala Nempan</t>
        </is>
      </c>
      <c r="E183" s="24" t="inlineStr">
        <is>
          <t>Kopi Arabika</t>
        </is>
      </c>
      <c r="F183" s="174" t="n">
        <v>3.33</v>
      </c>
      <c r="G183" s="174" t="n">
        <v>35.99</v>
      </c>
      <c r="H183" s="174" t="n">
        <v>6.71</v>
      </c>
      <c r="I183" s="101" t="n"/>
      <c r="J183" s="79">
        <f>SUM(F183:H183)</f>
        <v/>
      </c>
      <c r="K183" s="172" t="n">
        <v>33068.91</v>
      </c>
      <c r="L183" s="102" t="n">
        <v>33</v>
      </c>
      <c r="M183" s="57" t="n"/>
    </row>
    <row r="184" ht="17.25" customHeight="1">
      <c r="A184" s="35" t="n"/>
      <c r="B184" s="43" t="n"/>
      <c r="C184" s="15" t="n">
        <v>172</v>
      </c>
      <c r="D184" s="23" t="inlineStr">
        <is>
          <t>Pakat Jeroh</t>
        </is>
      </c>
      <c r="E184" s="24" t="inlineStr">
        <is>
          <t>Kopi Arabika</t>
        </is>
      </c>
      <c r="F184" s="174" t="n">
        <v>2.16</v>
      </c>
      <c r="G184" s="174" t="n">
        <v>50.45</v>
      </c>
      <c r="H184" s="174" t="n">
        <v>4.34</v>
      </c>
      <c r="I184" s="101" t="n"/>
      <c r="J184" s="79">
        <f>SUM(F184:H184)</f>
        <v/>
      </c>
      <c r="K184" s="172" t="n">
        <v>46434.33</v>
      </c>
      <c r="L184" s="102" t="n">
        <v>58</v>
      </c>
      <c r="M184" s="57" t="n"/>
    </row>
    <row r="185" ht="17.25" customHeight="1">
      <c r="A185" s="35" t="n"/>
      <c r="B185" s="43" t="n"/>
      <c r="C185" s="15" t="n">
        <v>173</v>
      </c>
      <c r="D185" s="23" t="inlineStr">
        <is>
          <t>Selisih Mara</t>
        </is>
      </c>
      <c r="E185" s="24" t="inlineStr">
        <is>
          <t>Kopi Arabika</t>
        </is>
      </c>
      <c r="F185" s="174" t="n">
        <v>2.19</v>
      </c>
      <c r="G185" s="174" t="n">
        <v>29.53</v>
      </c>
      <c r="H185" s="174" t="n">
        <v>4.38</v>
      </c>
      <c r="I185" s="101" t="n"/>
      <c r="J185" s="79">
        <f>SUM(F185:H185)</f>
        <v/>
      </c>
      <c r="K185" s="172" t="n">
        <v>28468.24</v>
      </c>
      <c r="L185" s="102" t="n">
        <v>44</v>
      </c>
      <c r="M185" s="57" t="n"/>
    </row>
    <row r="186" ht="17.25" customHeight="1">
      <c r="A186" s="35" t="n"/>
      <c r="B186" s="43" t="n"/>
      <c r="C186" s="15" t="n">
        <v>174</v>
      </c>
      <c r="D186" s="23" t="inlineStr">
        <is>
          <t>Selamat Rejo</t>
        </is>
      </c>
      <c r="E186" s="24" t="inlineStr">
        <is>
          <t>Kopi Arabika</t>
        </is>
      </c>
      <c r="F186" s="174" t="n">
        <v>3.39</v>
      </c>
      <c r="G186" s="174" t="n">
        <v>108.66</v>
      </c>
      <c r="H186" s="174" t="n">
        <v>6.82</v>
      </c>
      <c r="I186" s="101" t="n"/>
      <c r="J186" s="79">
        <f>SUM(F186:H186)</f>
        <v/>
      </c>
      <c r="K186" s="172" t="n">
        <v>99989.64999999999</v>
      </c>
      <c r="L186" s="102" t="n">
        <v>135</v>
      </c>
      <c r="M186" s="57" t="n"/>
    </row>
    <row r="187" ht="17.25" customHeight="1">
      <c r="A187" s="35" t="n"/>
      <c r="B187" s="43" t="n"/>
      <c r="C187" s="15" t="n">
        <v>175</v>
      </c>
      <c r="D187" s="23" t="inlineStr">
        <is>
          <t>Hakim Wih Ilang</t>
        </is>
      </c>
      <c r="E187" s="24" t="inlineStr">
        <is>
          <t>Kopi Arabika</t>
        </is>
      </c>
      <c r="F187" s="174" t="n">
        <v>12.3</v>
      </c>
      <c r="G187" s="174" t="n">
        <v>225.13</v>
      </c>
      <c r="H187" s="174" t="n">
        <v>23.22</v>
      </c>
      <c r="I187" s="101" t="n"/>
      <c r="J187" s="79">
        <f>SUM(F187:H187)</f>
        <v/>
      </c>
      <c r="K187" s="172" t="n">
        <v>209958.87</v>
      </c>
      <c r="L187" s="102" t="n">
        <v>263</v>
      </c>
      <c r="M187" s="57" t="n"/>
    </row>
    <row r="188" ht="17.25" customHeight="1">
      <c r="A188" s="35" t="n"/>
      <c r="B188" s="43" t="n"/>
      <c r="C188" s="15" t="n">
        <v>176</v>
      </c>
      <c r="D188" s="23" t="inlineStr">
        <is>
          <t>Lewa Jadi</t>
        </is>
      </c>
      <c r="E188" s="24" t="inlineStr">
        <is>
          <t>Kopi Arabika</t>
        </is>
      </c>
      <c r="F188" s="174" t="n">
        <v>2.87</v>
      </c>
      <c r="G188" s="174" t="n">
        <v>129.01</v>
      </c>
      <c r="H188" s="174" t="n">
        <v>64.40000000000001</v>
      </c>
      <c r="I188" s="101" t="n"/>
      <c r="J188" s="79">
        <f>SUM(F188:H188)</f>
        <v/>
      </c>
      <c r="K188" s="172" t="n">
        <v>121217.53</v>
      </c>
      <c r="L188" s="102" t="n">
        <v>203</v>
      </c>
      <c r="M188" s="57" t="n"/>
    </row>
    <row r="189" ht="17.25" customHeight="1">
      <c r="A189" s="35" t="n"/>
      <c r="B189" s="43" t="n"/>
      <c r="C189" s="15" t="n">
        <v>177</v>
      </c>
      <c r="D189" s="23" t="inlineStr">
        <is>
          <t>Gunung Antara</t>
        </is>
      </c>
      <c r="E189" s="24" t="inlineStr">
        <is>
          <t>Kopi Arabika</t>
        </is>
      </c>
      <c r="F189" s="174" t="n">
        <v>23.61</v>
      </c>
      <c r="G189" s="174" t="n">
        <v>48.58</v>
      </c>
      <c r="H189" s="174" t="n">
        <v>0</v>
      </c>
      <c r="I189" s="101" t="n"/>
      <c r="J189" s="79">
        <f>SUM(F189:H189)</f>
        <v/>
      </c>
      <c r="K189" s="172" t="n">
        <v>44370.56</v>
      </c>
      <c r="L189" s="102" t="n">
        <v>87</v>
      </c>
      <c r="M189" s="57" t="n"/>
    </row>
    <row r="190" ht="17.25" customHeight="1">
      <c r="A190" s="35" t="n"/>
      <c r="B190" s="43" t="n"/>
      <c r="C190" s="15" t="n">
        <v>178</v>
      </c>
      <c r="D190" s="23" t="inlineStr">
        <is>
          <t>Remang Ketike Jaya</t>
        </is>
      </c>
      <c r="E190" s="24" t="inlineStr">
        <is>
          <t>Kopi Arabika</t>
        </is>
      </c>
      <c r="F190" s="174" t="n">
        <v>3.4</v>
      </c>
      <c r="G190" s="174" t="n">
        <v>63.93</v>
      </c>
      <c r="H190" s="174" t="n">
        <v>3.46</v>
      </c>
      <c r="I190" s="101" t="n"/>
      <c r="J190" s="79">
        <f>SUM(F190:H190)</f>
        <v/>
      </c>
      <c r="K190" s="172" t="n">
        <v>58740.28</v>
      </c>
      <c r="L190" s="102" t="n">
        <v>84</v>
      </c>
      <c r="M190" s="57" t="n"/>
    </row>
    <row r="191" ht="17.25" customHeight="1">
      <c r="A191" s="35" t="n"/>
      <c r="B191" s="43" t="n"/>
      <c r="C191" s="15" t="n">
        <v>179</v>
      </c>
      <c r="D191" s="23" t="inlineStr">
        <is>
          <t>Tanjung Pura</t>
        </is>
      </c>
      <c r="E191" s="24" t="inlineStr">
        <is>
          <t>Kopi Arabika</t>
        </is>
      </c>
      <c r="F191" s="174" t="n">
        <v>6.83</v>
      </c>
      <c r="G191" s="174" t="n">
        <v>211.24</v>
      </c>
      <c r="H191" s="174" t="n">
        <v>13.6</v>
      </c>
      <c r="I191" s="101" t="n"/>
      <c r="J191" s="79">
        <f>SUM(F191:H191)</f>
        <v/>
      </c>
      <c r="K191" s="172" t="n">
        <v>195829.15</v>
      </c>
      <c r="L191" s="102" t="n">
        <v>144</v>
      </c>
      <c r="M191" s="57" t="n"/>
    </row>
    <row r="192" ht="17.25" customHeight="1">
      <c r="A192" s="35" t="n"/>
      <c r="B192" s="43" t="n"/>
      <c r="C192" s="15" t="n">
        <v>180</v>
      </c>
      <c r="D192" s="23" t="inlineStr">
        <is>
          <t>Beranun Teleden</t>
        </is>
      </c>
      <c r="E192" s="24" t="inlineStr">
        <is>
          <t>Kopi Arabika</t>
        </is>
      </c>
      <c r="F192" s="174" t="n">
        <v>0</v>
      </c>
      <c r="G192" s="174" t="n">
        <v>73.37</v>
      </c>
      <c r="H192" s="174" t="n">
        <v>0</v>
      </c>
      <c r="I192" s="101" t="n"/>
      <c r="J192" s="79">
        <f>SUM(F192:H192)</f>
        <v/>
      </c>
      <c r="K192" s="172" t="n">
        <v>68695.87</v>
      </c>
      <c r="L192" s="102" t="n">
        <v>131</v>
      </c>
      <c r="M192" s="57" t="n"/>
    </row>
    <row r="193" ht="17.25" customHeight="1">
      <c r="A193" s="35" t="n"/>
      <c r="B193" s="43" t="n"/>
      <c r="C193" s="15" t="n">
        <v>181</v>
      </c>
      <c r="D193" s="23" t="inlineStr">
        <is>
          <t>Keramat Jaya</t>
        </is>
      </c>
      <c r="E193" s="24" t="inlineStr">
        <is>
          <t>Kopi Arabika</t>
        </is>
      </c>
      <c r="F193" s="174" t="n">
        <v>12.21</v>
      </c>
      <c r="G193" s="174" t="n">
        <v>97.44</v>
      </c>
      <c r="H193" s="174" t="n">
        <v>7.76</v>
      </c>
      <c r="I193" s="101" t="n"/>
      <c r="J193" s="79">
        <f>SUM(F193:H193)</f>
        <v/>
      </c>
      <c r="K193" s="172" t="n">
        <v>90747.62</v>
      </c>
      <c r="L193" s="102" t="n">
        <v>70</v>
      </c>
      <c r="M193" s="57" t="n"/>
    </row>
    <row r="194" ht="17.25" customHeight="1">
      <c r="A194" s="35" t="n"/>
      <c r="B194" s="43" t="n"/>
      <c r="C194" s="15" t="n">
        <v>182</v>
      </c>
      <c r="D194" s="23" t="inlineStr">
        <is>
          <t>Jadi Sepakat</t>
        </is>
      </c>
      <c r="E194" s="24" t="inlineStr">
        <is>
          <t>Kopi Arabika</t>
        </is>
      </c>
      <c r="F194" s="174" t="n">
        <v>6.76</v>
      </c>
      <c r="G194" s="174" t="n">
        <v>13.34</v>
      </c>
      <c r="H194" s="174" t="n">
        <v>13.45</v>
      </c>
      <c r="I194" s="101" t="n"/>
      <c r="J194" s="79">
        <f>SUM(F194:H194)</f>
        <v/>
      </c>
      <c r="K194" s="172" t="n">
        <v>12588.18</v>
      </c>
      <c r="L194" s="102" t="n">
        <v>78</v>
      </c>
      <c r="M194" s="57" t="n"/>
    </row>
    <row r="195" ht="17.25" customHeight="1">
      <c r="A195" s="35" t="n"/>
      <c r="B195" s="43" t="n"/>
      <c r="C195" s="15" t="n">
        <v>183</v>
      </c>
      <c r="D195" s="23" t="inlineStr">
        <is>
          <t>Sidodadi</t>
        </is>
      </c>
      <c r="E195" s="24" t="inlineStr">
        <is>
          <t>Kopi Arabika</t>
        </is>
      </c>
      <c r="F195" s="174" t="n">
        <v>5.5</v>
      </c>
      <c r="G195" s="174" t="n">
        <v>151.46</v>
      </c>
      <c r="H195" s="174" t="n">
        <v>13.35</v>
      </c>
      <c r="I195" s="101" t="n"/>
      <c r="J195" s="79">
        <f>SUM(F195:H195)</f>
        <v/>
      </c>
      <c r="K195" s="172" t="n">
        <v>143796.9</v>
      </c>
      <c r="L195" s="102" t="n">
        <v>167</v>
      </c>
      <c r="M195" s="57" t="n"/>
    </row>
    <row r="196" ht="17.25" customHeight="1">
      <c r="A196" s="35" t="n"/>
      <c r="B196" s="43" t="n"/>
      <c r="C196" s="15" t="n">
        <v>184</v>
      </c>
      <c r="D196" s="23" t="inlineStr">
        <is>
          <t>Petukel Blang Jorong</t>
        </is>
      </c>
      <c r="E196" s="24" t="inlineStr">
        <is>
          <t>Kopi Arabika</t>
        </is>
      </c>
      <c r="F196" s="174" t="n">
        <v>2.19</v>
      </c>
      <c r="G196" s="174" t="n">
        <v>262.32</v>
      </c>
      <c r="H196" s="174" t="n">
        <v>13.21</v>
      </c>
      <c r="I196" s="101" t="n"/>
      <c r="J196" s="79">
        <f>SUM(F196:H196)</f>
        <v/>
      </c>
      <c r="K196" s="172" t="n">
        <v>251501.49</v>
      </c>
      <c r="L196" s="102" t="n">
        <v>205</v>
      </c>
      <c r="M196" s="57" t="n"/>
    </row>
    <row r="197" ht="17.25" customHeight="1">
      <c r="A197" s="35" t="n"/>
      <c r="B197" s="43" t="n"/>
      <c r="C197" s="15" t="n">
        <v>185</v>
      </c>
      <c r="D197" s="23" t="inlineStr">
        <is>
          <t>Paya Baning</t>
        </is>
      </c>
      <c r="E197" s="24" t="inlineStr">
        <is>
          <t>Kopi Arabika</t>
        </is>
      </c>
      <c r="F197" s="174" t="n">
        <v>28.13</v>
      </c>
      <c r="G197" s="174" t="n">
        <v>50.37</v>
      </c>
      <c r="H197" s="174" t="n">
        <v>55.96</v>
      </c>
      <c r="I197" s="101" t="n"/>
      <c r="J197" s="79">
        <f>SUM(F197:H197)</f>
        <v/>
      </c>
      <c r="K197" s="172" t="n">
        <v>48913.22</v>
      </c>
      <c r="L197" s="102" t="n">
        <v>96</v>
      </c>
      <c r="M197" s="57" t="n"/>
    </row>
    <row r="198" ht="17.25" customHeight="1">
      <c r="A198" s="35" t="n"/>
      <c r="B198" s="43" t="n"/>
      <c r="C198" s="15" t="n">
        <v>186</v>
      </c>
      <c r="D198" s="23" t="inlineStr">
        <is>
          <t>Wonosari</t>
        </is>
      </c>
      <c r="E198" s="24" t="inlineStr">
        <is>
          <t>Kopi Arabika</t>
        </is>
      </c>
      <c r="F198" s="174" t="n">
        <v>17.56</v>
      </c>
      <c r="G198" s="174" t="n">
        <v>116.34</v>
      </c>
      <c r="H198" s="174" t="n">
        <v>18.98</v>
      </c>
      <c r="I198" s="101" t="n"/>
      <c r="J198" s="79">
        <f>SUM(F198:H198)</f>
        <v/>
      </c>
      <c r="K198" s="172" t="n">
        <v>111347.09</v>
      </c>
      <c r="L198" s="102" t="n">
        <v>217</v>
      </c>
      <c r="M198" s="57" t="n"/>
    </row>
    <row r="199" ht="17.25" customHeight="1">
      <c r="A199" s="35" t="n"/>
      <c r="B199" s="43" t="n"/>
      <c r="C199" s="15" t="n">
        <v>187</v>
      </c>
      <c r="D199" s="23" t="inlineStr">
        <is>
          <t>Tansaran Bidin</t>
        </is>
      </c>
      <c r="E199" s="24" t="inlineStr">
        <is>
          <t>Kopi Arabika</t>
        </is>
      </c>
      <c r="F199" s="174" t="n">
        <v>3.37</v>
      </c>
      <c r="G199" s="174" t="n">
        <v>779.02</v>
      </c>
      <c r="H199" s="174" t="n">
        <v>229.04</v>
      </c>
      <c r="I199" s="101" t="n"/>
      <c r="J199" s="79">
        <f>SUM(F199:H199)</f>
        <v/>
      </c>
      <c r="K199" s="172" t="n">
        <v>743853.1899999999</v>
      </c>
      <c r="L199" s="102" t="n">
        <v>126</v>
      </c>
      <c r="M199" s="57" t="n"/>
    </row>
    <row r="200" ht="17.25" customHeight="1">
      <c r="A200" s="35" t="n"/>
      <c r="B200" s="43" t="n"/>
      <c r="C200" s="15" t="n">
        <v>188</v>
      </c>
      <c r="D200" s="23" t="inlineStr">
        <is>
          <t>Blang Pulo</t>
        </is>
      </c>
      <c r="E200" s="24" t="inlineStr">
        <is>
          <t>Kopi Arabika</t>
        </is>
      </c>
      <c r="F200" s="174" t="n">
        <v>12.63</v>
      </c>
      <c r="G200" s="174" t="n">
        <v>97.52</v>
      </c>
      <c r="H200" s="174" t="n">
        <v>12.05</v>
      </c>
      <c r="I200" s="101" t="n"/>
      <c r="J200" s="79">
        <f>SUM(F200:H200)</f>
        <v/>
      </c>
      <c r="K200" s="172" t="n">
        <v>88375.25999999999</v>
      </c>
      <c r="L200" s="102" t="n">
        <v>171</v>
      </c>
      <c r="M200" s="57" t="n"/>
    </row>
    <row r="201" ht="17.25" customHeight="1">
      <c r="A201" s="35" t="n"/>
      <c r="B201" s="43" t="n"/>
      <c r="C201" s="15" t="n">
        <v>189</v>
      </c>
      <c r="D201" s="23" t="inlineStr">
        <is>
          <t>Sinar Jaya Paya Ringkel</t>
        </is>
      </c>
      <c r="E201" s="24" t="inlineStr">
        <is>
          <t>Kopi Arabika</t>
        </is>
      </c>
      <c r="F201" s="174" t="n">
        <v>7.73</v>
      </c>
      <c r="G201" s="174" t="n">
        <v>205.32</v>
      </c>
      <c r="H201" s="174" t="n">
        <v>5.53</v>
      </c>
      <c r="I201" s="101" t="n"/>
      <c r="J201" s="79">
        <f>SUM(F201:H201)</f>
        <v/>
      </c>
      <c r="K201" s="172" t="n">
        <v>191998.27</v>
      </c>
      <c r="L201" s="102" t="n">
        <v>242</v>
      </c>
      <c r="M201" s="57" t="n"/>
    </row>
    <row r="202" ht="17.25" customHeight="1">
      <c r="A202" s="35" t="n"/>
      <c r="B202" s="43" t="n"/>
      <c r="C202" s="15" t="n">
        <v>190</v>
      </c>
      <c r="D202" s="23" t="inlineStr">
        <is>
          <t>Muyang Kute Mangku</t>
        </is>
      </c>
      <c r="E202" s="24" t="inlineStr">
        <is>
          <t>Kopi Arabika</t>
        </is>
      </c>
      <c r="F202" s="174" t="n">
        <v>47.32</v>
      </c>
      <c r="G202" s="174" t="n">
        <v>273.75</v>
      </c>
      <c r="H202" s="174" t="n">
        <v>3.25</v>
      </c>
      <c r="I202" s="101" t="n"/>
      <c r="J202" s="79">
        <f>SUM(F202:H202)</f>
        <v/>
      </c>
      <c r="K202" s="172" t="n">
        <v>264437.26</v>
      </c>
      <c r="L202" s="102" t="n">
        <v>269</v>
      </c>
      <c r="M202" s="57" t="n"/>
    </row>
    <row r="203" ht="17.25" customHeight="1">
      <c r="A203" s="125" t="inlineStr">
        <is>
          <t>Jumlah</t>
        </is>
      </c>
      <c r="B203" s="140" t="n"/>
      <c r="C203" s="140" t="n"/>
      <c r="D203" s="135" t="n"/>
      <c r="E203" s="126" t="n"/>
      <c r="F203" s="30">
        <f>SUM(F168:F202)</f>
        <v/>
      </c>
      <c r="G203" s="30">
        <f>SUM(G168:G202)</f>
        <v/>
      </c>
      <c r="H203" s="30">
        <f>SUM(H168:H202)</f>
        <v/>
      </c>
      <c r="I203" s="30" t="n"/>
      <c r="J203" s="31">
        <f>SUM(J168:J202)</f>
        <v/>
      </c>
      <c r="K203" s="30">
        <f>SUM(K168:K202)</f>
        <v/>
      </c>
      <c r="L203" s="30">
        <f>SUM(L168:L202)</f>
        <v/>
      </c>
      <c r="M203" s="32" t="n"/>
      <c r="N203" s="1" t="n"/>
    </row>
    <row r="204" ht="17.25" customFormat="1" customHeight="1" s="109">
      <c r="A204" s="21" t="inlineStr">
        <is>
          <t>IX.</t>
        </is>
      </c>
      <c r="B204" s="104" t="inlineStr">
        <is>
          <t>Gajah Putih</t>
        </is>
      </c>
      <c r="C204" s="22" t="n">
        <v>191</v>
      </c>
      <c r="D204" s="25" t="inlineStr">
        <is>
          <t>Simpang Rahmat</t>
        </is>
      </c>
      <c r="E204" s="24" t="inlineStr">
        <is>
          <t>Kopi Arabika</t>
        </is>
      </c>
      <c r="F204" s="172" t="n">
        <v>10.65</v>
      </c>
      <c r="G204" s="172" t="n">
        <v>27.33</v>
      </c>
      <c r="H204" s="172" t="n">
        <v>16</v>
      </c>
      <c r="I204" s="105" t="n"/>
      <c r="J204" s="106">
        <f>SUM(F204:H204)</f>
        <v/>
      </c>
      <c r="K204" s="172" t="n">
        <v>18211.43</v>
      </c>
      <c r="L204" s="176" t="n">
        <v>354</v>
      </c>
      <c r="M204" s="107" t="n"/>
      <c r="N204" s="177" t="n"/>
    </row>
    <row r="205" ht="17.25" customFormat="1" customHeight="1" s="109">
      <c r="A205" s="21" t="n"/>
      <c r="B205" s="110" t="n"/>
      <c r="C205" s="22" t="n">
        <v>192</v>
      </c>
      <c r="D205" s="25" t="inlineStr">
        <is>
          <t>Reronga</t>
        </is>
      </c>
      <c r="E205" s="24" t="inlineStr">
        <is>
          <t>Kopi Arabika</t>
        </is>
      </c>
      <c r="F205" s="172" t="n">
        <v>81.91</v>
      </c>
      <c r="G205" s="172" t="n">
        <v>463.26</v>
      </c>
      <c r="H205" s="172" t="n">
        <v>21.48</v>
      </c>
      <c r="I205" s="105" t="n"/>
      <c r="J205" s="106">
        <f>SUM(F205:H205)</f>
        <v/>
      </c>
      <c r="K205" s="172" t="n">
        <v>319479.62</v>
      </c>
      <c r="L205" s="176" t="n">
        <v>147</v>
      </c>
      <c r="M205" s="107" t="n"/>
      <c r="N205" s="178" t="n"/>
    </row>
    <row r="206" ht="17.25" customFormat="1" customHeight="1" s="109">
      <c r="A206" s="21" t="n"/>
      <c r="B206" s="110" t="n"/>
      <c r="C206" s="22" t="n">
        <v>193</v>
      </c>
      <c r="D206" s="25" t="inlineStr">
        <is>
          <t>Gajah Putih</t>
        </is>
      </c>
      <c r="E206" s="24" t="inlineStr">
        <is>
          <t>Kopi Arabika</t>
        </is>
      </c>
      <c r="F206" s="172" t="n">
        <v>124.34</v>
      </c>
      <c r="G206" s="172" t="n">
        <v>146.38</v>
      </c>
      <c r="H206" s="172" t="n">
        <v>84.59999999999999</v>
      </c>
      <c r="I206" s="105" t="n"/>
      <c r="J206" s="106">
        <f>SUM(F206:H206)</f>
        <v/>
      </c>
      <c r="K206" s="172" t="n">
        <v>97692.73</v>
      </c>
      <c r="L206" s="176" t="n">
        <v>187</v>
      </c>
      <c r="M206" s="107" t="n"/>
    </row>
    <row r="207" ht="17.25" customFormat="1" customHeight="1" s="109">
      <c r="A207" s="21" t="n"/>
      <c r="B207" s="110" t="n"/>
      <c r="C207" s="22" t="n">
        <v>194</v>
      </c>
      <c r="D207" s="25" t="inlineStr">
        <is>
          <t>Gayo Setie</t>
        </is>
      </c>
      <c r="E207" s="24" t="inlineStr">
        <is>
          <t>Kopi Arabika</t>
        </is>
      </c>
      <c r="F207" s="172" t="n">
        <v>9.199999999999999</v>
      </c>
      <c r="G207" s="172" t="n">
        <v>335.49</v>
      </c>
      <c r="H207" s="172" t="n">
        <v>24.34</v>
      </c>
      <c r="I207" s="105" t="n"/>
      <c r="J207" s="106">
        <f>SUM(F207:H207)</f>
        <v/>
      </c>
      <c r="K207" s="172" t="n">
        <v>233312.07</v>
      </c>
      <c r="L207" s="176" t="n">
        <v>101</v>
      </c>
      <c r="M207" s="107" t="n"/>
    </row>
    <row r="208" ht="17.25" customFormat="1" customHeight="1" s="109">
      <c r="A208" s="21" t="n"/>
      <c r="B208" s="110" t="n"/>
      <c r="C208" s="22" t="n">
        <v>195</v>
      </c>
      <c r="D208" s="25" t="inlineStr">
        <is>
          <t xml:space="preserve">Umah Besi </t>
        </is>
      </c>
      <c r="E208" s="24" t="inlineStr">
        <is>
          <t>Kopi Arabika</t>
        </is>
      </c>
      <c r="F208" s="172" t="n">
        <v>8.449999999999999</v>
      </c>
      <c r="G208" s="172" t="n">
        <v>26.72</v>
      </c>
      <c r="H208" s="172" t="n">
        <v>8.52</v>
      </c>
      <c r="I208" s="105" t="n"/>
      <c r="J208" s="106">
        <f>SUM(F208:H208)</f>
        <v/>
      </c>
      <c r="K208" s="172" t="n">
        <v>19742.6</v>
      </c>
      <c r="L208" s="176" t="n">
        <v>20</v>
      </c>
      <c r="M208" s="107" t="n"/>
    </row>
    <row r="209" ht="17.25" customFormat="1" customHeight="1" s="109">
      <c r="A209" s="21" t="n"/>
      <c r="B209" s="110" t="n"/>
      <c r="C209" s="22" t="n">
        <v>196</v>
      </c>
      <c r="D209" s="25" t="inlineStr">
        <is>
          <t>Meriah Jaya</t>
        </is>
      </c>
      <c r="E209" s="24" t="inlineStr">
        <is>
          <t>Kopi Arabika</t>
        </is>
      </c>
      <c r="F209" s="172" t="n">
        <v>6.4</v>
      </c>
      <c r="G209" s="172" t="n">
        <v>40.36</v>
      </c>
      <c r="H209" s="172" t="n">
        <v>8.380000000000001</v>
      </c>
      <c r="I209" s="105" t="n"/>
      <c r="J209" s="106">
        <f>SUM(F209:H209)</f>
        <v/>
      </c>
      <c r="K209" s="172" t="n">
        <v>29581.94</v>
      </c>
      <c r="L209" s="176" t="n">
        <v>32</v>
      </c>
      <c r="M209" s="107" t="n"/>
    </row>
    <row r="210" ht="17.25" customFormat="1" customHeight="1" s="109">
      <c r="A210" s="21" t="n"/>
      <c r="B210" s="110" t="n"/>
      <c r="C210" s="22" t="n">
        <v>197</v>
      </c>
      <c r="D210" s="25" t="inlineStr">
        <is>
          <t>Timang Gajah</t>
        </is>
      </c>
      <c r="E210" s="24" t="inlineStr">
        <is>
          <t>Kopi Arabika</t>
        </is>
      </c>
      <c r="F210" s="172" t="n">
        <v>8.140000000000001</v>
      </c>
      <c r="G210" s="172" t="n">
        <v>42.38</v>
      </c>
      <c r="H210" s="172" t="n">
        <v>9.130000000000001</v>
      </c>
      <c r="I210" s="105" t="n"/>
      <c r="J210" s="106">
        <f>SUM(F210:H210)</f>
        <v/>
      </c>
      <c r="K210" s="172" t="n">
        <v>30639.33</v>
      </c>
      <c r="L210" s="176" t="n">
        <v>95</v>
      </c>
      <c r="M210" s="107" t="n"/>
    </row>
    <row r="211" ht="17.25" customFormat="1" customHeight="1" s="109">
      <c r="A211" s="21" t="n"/>
      <c r="B211" s="110" t="n"/>
      <c r="C211" s="22" t="n">
        <v>198</v>
      </c>
      <c r="D211" s="25" t="inlineStr">
        <is>
          <t xml:space="preserve">Alam Jaya </t>
        </is>
      </c>
      <c r="E211" s="24" t="inlineStr">
        <is>
          <t>Kopi Arabika</t>
        </is>
      </c>
      <c r="F211" s="172" t="n">
        <v>10.95</v>
      </c>
      <c r="G211" s="172" t="n">
        <v>103.62</v>
      </c>
      <c r="H211" s="172" t="n">
        <v>16.26</v>
      </c>
      <c r="I211" s="105" t="n"/>
      <c r="J211" s="106">
        <f>SUM(F211:H211)</f>
        <v/>
      </c>
      <c r="K211" s="172" t="n">
        <v>69170.8</v>
      </c>
      <c r="L211" s="176" t="n">
        <v>98</v>
      </c>
      <c r="M211" s="107" t="n"/>
    </row>
    <row r="212" ht="17.25" customFormat="1" customHeight="1" s="109">
      <c r="A212" s="21" t="n"/>
      <c r="B212" s="110" t="n"/>
      <c r="C212" s="22" t="n">
        <v>199</v>
      </c>
      <c r="D212" s="25" t="inlineStr">
        <is>
          <t>Pante Karya</t>
        </is>
      </c>
      <c r="E212" s="24" t="inlineStr">
        <is>
          <t>Kopi Arabika</t>
        </is>
      </c>
      <c r="F212" s="172" t="n">
        <v>23.82</v>
      </c>
      <c r="G212" s="172" t="n">
        <v>323.34</v>
      </c>
      <c r="H212" s="172" t="n">
        <v>25.09</v>
      </c>
      <c r="I212" s="105" t="n"/>
      <c r="J212" s="106">
        <f>SUM(F212:H212)</f>
        <v/>
      </c>
      <c r="K212" s="172" t="n">
        <v>234177.29</v>
      </c>
      <c r="L212" s="176" t="n">
        <v>406</v>
      </c>
      <c r="M212" s="107" t="n"/>
    </row>
    <row r="213" ht="17.25" customFormat="1" customHeight="1" s="109">
      <c r="A213" s="21" t="n"/>
      <c r="B213" s="110" t="n"/>
      <c r="C213" s="22" t="n">
        <v>200</v>
      </c>
      <c r="D213" s="25" t="inlineStr">
        <is>
          <t>Pantan Lues</t>
        </is>
      </c>
      <c r="E213" s="24" t="inlineStr">
        <is>
          <t>Kopi Arabika</t>
        </is>
      </c>
      <c r="F213" s="172" t="n">
        <v>26.95</v>
      </c>
      <c r="G213" s="172" t="n">
        <v>839.53</v>
      </c>
      <c r="H213" s="172" t="n">
        <v>53.54</v>
      </c>
      <c r="I213" s="105" t="n"/>
      <c r="J213" s="106">
        <f>SUM(F213:H213)</f>
        <v/>
      </c>
      <c r="K213" s="172" t="n">
        <v>586538.74</v>
      </c>
      <c r="L213" s="176" t="n">
        <v>177</v>
      </c>
      <c r="M213" s="107" t="n"/>
    </row>
    <row r="214" ht="17.25" customHeight="1">
      <c r="A214" s="125" t="inlineStr">
        <is>
          <t>Jumlah</t>
        </is>
      </c>
      <c r="B214" s="140" t="n"/>
      <c r="C214" s="140" t="n"/>
      <c r="D214" s="135" t="n"/>
      <c r="E214" s="126" t="n"/>
      <c r="F214" s="30">
        <f>SUM(F204:F213)</f>
        <v/>
      </c>
      <c r="G214" s="30">
        <f>SUM(G204:G213)</f>
        <v/>
      </c>
      <c r="H214" s="30">
        <f>SUM(H204:H213)</f>
        <v/>
      </c>
      <c r="I214" s="30" t="n"/>
      <c r="J214" s="31">
        <f>SUM(J204:J213)</f>
        <v/>
      </c>
      <c r="K214" s="30">
        <f>SUM(K204:K213)</f>
        <v/>
      </c>
      <c r="L214" s="30">
        <f>SUM(L204:L213)</f>
        <v/>
      </c>
      <c r="M214" s="32" t="n"/>
    </row>
    <row r="215" ht="17.25" customHeight="1">
      <c r="A215" s="35" t="inlineStr">
        <is>
          <t>X.</t>
        </is>
      </c>
      <c r="B215" s="36" t="inlineStr">
        <is>
          <t>Pintu Rime Gayo</t>
        </is>
      </c>
      <c r="C215" s="15" t="n">
        <v>201</v>
      </c>
      <c r="D215" s="91" t="inlineStr">
        <is>
          <t>Bintang Berangun</t>
        </is>
      </c>
      <c r="E215" s="24" t="inlineStr">
        <is>
          <t>Kopi Arabika</t>
        </is>
      </c>
      <c r="F215" s="169" t="n">
        <v>11</v>
      </c>
      <c r="G215" s="169" t="n">
        <v>475.54</v>
      </c>
      <c r="H215" s="169" t="n">
        <v>55.54</v>
      </c>
      <c r="I215" s="94" t="n"/>
      <c r="J215" s="94">
        <f>SUM(F215:H215)</f>
        <v/>
      </c>
      <c r="K215" s="169" t="n">
        <v>324432.36</v>
      </c>
      <c r="L215" s="165" t="n">
        <v>167</v>
      </c>
      <c r="M215" s="57" t="n"/>
    </row>
    <row r="216" ht="17.25" customHeight="1">
      <c r="A216" s="35" t="n"/>
      <c r="B216" s="43" t="n"/>
      <c r="C216" s="15" t="n">
        <v>202</v>
      </c>
      <c r="D216" s="91" t="inlineStr">
        <is>
          <t>Pulo Intan</t>
        </is>
      </c>
      <c r="E216" s="24" t="inlineStr">
        <is>
          <t>Kopi Arabika</t>
        </is>
      </c>
      <c r="F216" s="169" t="n">
        <v>53.19</v>
      </c>
      <c r="G216" s="169" t="n">
        <v>226.87</v>
      </c>
      <c r="H216" s="169" t="n">
        <v>15.8</v>
      </c>
      <c r="I216" s="94" t="n"/>
      <c r="J216" s="94">
        <f>SUM(F216:H216)</f>
        <v/>
      </c>
      <c r="K216" s="169" t="n">
        <v>180749.53</v>
      </c>
      <c r="L216" s="179" t="n">
        <v>111</v>
      </c>
      <c r="M216" s="180" t="n"/>
    </row>
    <row r="217" ht="17.25" customHeight="1">
      <c r="A217" s="35" t="n"/>
      <c r="B217" s="43" t="n"/>
      <c r="C217" s="15" t="n">
        <v>203</v>
      </c>
      <c r="D217" s="91" t="inlineStr">
        <is>
          <t>Singah Mulo</t>
        </is>
      </c>
      <c r="E217" s="24" t="inlineStr">
        <is>
          <t>Kopi Arabika</t>
        </is>
      </c>
      <c r="F217" s="169" t="n">
        <v>10.9</v>
      </c>
      <c r="G217" s="169" t="n">
        <v>35.48</v>
      </c>
      <c r="H217" s="169" t="n">
        <v>12.94</v>
      </c>
      <c r="I217" s="94" t="n"/>
      <c r="J217" s="94">
        <f>SUM(F217:H217)</f>
        <v/>
      </c>
      <c r="K217" s="169" t="n">
        <v>24161.62</v>
      </c>
      <c r="L217" s="179" t="n">
        <v>32</v>
      </c>
      <c r="M217" s="180" t="n"/>
    </row>
    <row r="218" ht="17.25" customHeight="1">
      <c r="A218" s="35" t="n"/>
      <c r="B218" s="43" t="n"/>
      <c r="C218" s="15" t="n">
        <v>204</v>
      </c>
      <c r="D218" s="91" t="inlineStr">
        <is>
          <t>Alur Cincin</t>
        </is>
      </c>
      <c r="E218" s="24" t="inlineStr">
        <is>
          <t>Kopi Arabika</t>
        </is>
      </c>
      <c r="F218" s="169" t="n">
        <v>0</v>
      </c>
      <c r="G218" s="169" t="n">
        <v>49.44</v>
      </c>
      <c r="H218" s="169" t="n">
        <v>22.94</v>
      </c>
      <c r="I218" s="94" t="n"/>
      <c r="J218" s="94">
        <f>SUM(F218:H218)</f>
        <v/>
      </c>
      <c r="K218" s="169" t="n">
        <v>36330.02</v>
      </c>
      <c r="L218" s="179" t="n">
        <v>178</v>
      </c>
      <c r="M218" s="180" t="n"/>
    </row>
    <row r="219" ht="17.25" customHeight="1">
      <c r="A219" s="35" t="n"/>
      <c r="B219" s="43" t="n"/>
      <c r="C219" s="15" t="n">
        <v>205</v>
      </c>
      <c r="D219" s="91" t="inlineStr">
        <is>
          <t>Musara 58</t>
        </is>
      </c>
      <c r="E219" s="24" t="inlineStr">
        <is>
          <t>Kopi Arabika</t>
        </is>
      </c>
      <c r="F219" s="169" t="n">
        <v>11.07</v>
      </c>
      <c r="G219" s="169" t="n">
        <v>179.77</v>
      </c>
      <c r="H219" s="169" t="n">
        <v>56.64</v>
      </c>
      <c r="I219" s="94" t="n"/>
      <c r="J219" s="94">
        <f>SUM(F219:H219)</f>
        <v/>
      </c>
      <c r="K219" s="170" t="n">
        <v>126984.42</v>
      </c>
      <c r="L219" s="165" t="n">
        <v>83</v>
      </c>
      <c r="M219" s="180" t="n"/>
    </row>
    <row r="220" ht="17.25" customHeight="1">
      <c r="A220" s="35" t="n"/>
      <c r="B220" s="43" t="n"/>
      <c r="C220" s="15" t="n">
        <v>206</v>
      </c>
      <c r="D220" s="91" t="inlineStr">
        <is>
          <t>Uning Mas</t>
        </is>
      </c>
      <c r="E220" s="24" t="inlineStr">
        <is>
          <t>Kopi Arabika</t>
        </is>
      </c>
      <c r="F220" s="169" t="n">
        <v>55.89</v>
      </c>
      <c r="G220" s="169" t="n">
        <v>538.21</v>
      </c>
      <c r="H220" s="169" t="n">
        <v>64.83</v>
      </c>
      <c r="I220" s="94" t="n"/>
      <c r="J220" s="94">
        <f>SUM(F220:H220)</f>
        <v/>
      </c>
      <c r="K220" s="170" t="n">
        <v>414996.86</v>
      </c>
      <c r="L220" s="165" t="n">
        <v>66</v>
      </c>
      <c r="M220" s="180" t="n"/>
    </row>
    <row r="221" ht="17.25" customHeight="1">
      <c r="A221" s="35" t="n"/>
      <c r="B221" s="43" t="n"/>
      <c r="C221" s="15" t="n">
        <v>207</v>
      </c>
      <c r="D221" s="91" t="inlineStr">
        <is>
          <t>Blang Rakal</t>
        </is>
      </c>
      <c r="E221" s="24" t="inlineStr">
        <is>
          <t>Kopi Arabika</t>
        </is>
      </c>
      <c r="F221" s="169" t="n">
        <v>0</v>
      </c>
      <c r="G221" s="169" t="n">
        <v>43.78</v>
      </c>
      <c r="H221" s="169" t="n">
        <v>24.75</v>
      </c>
      <c r="I221" s="94" t="n"/>
      <c r="J221" s="94">
        <f>SUM(F221:H221)</f>
        <v/>
      </c>
      <c r="K221" s="170" t="n">
        <v>30219.74</v>
      </c>
      <c r="L221" s="165" t="n">
        <v>37</v>
      </c>
      <c r="M221" s="180" t="n"/>
    </row>
    <row r="222" ht="17.25" customHeight="1">
      <c r="A222" s="35" t="n"/>
      <c r="B222" s="43" t="n"/>
      <c r="C222" s="15" t="n">
        <v>208</v>
      </c>
      <c r="D222" s="91" t="inlineStr">
        <is>
          <t>Bener Meriah</t>
        </is>
      </c>
      <c r="E222" s="24" t="inlineStr">
        <is>
          <t>Kopi Arabika</t>
        </is>
      </c>
      <c r="F222" s="169" t="n">
        <v>0</v>
      </c>
      <c r="G222" s="169" t="n">
        <v>208.52</v>
      </c>
      <c r="H222" s="169" t="n">
        <v>30.66</v>
      </c>
      <c r="I222" s="94" t="n"/>
      <c r="J222" s="94">
        <f>SUM(F222:H222)</f>
        <v/>
      </c>
      <c r="K222" s="170" t="n">
        <v>135862.8</v>
      </c>
      <c r="L222" s="165" t="n">
        <v>122</v>
      </c>
      <c r="M222" s="180" t="n"/>
    </row>
    <row r="223" ht="17.25" customHeight="1">
      <c r="A223" s="35" t="n"/>
      <c r="B223" s="43" t="n"/>
      <c r="C223" s="15" t="n">
        <v>209</v>
      </c>
      <c r="D223" s="91" t="inlineStr">
        <is>
          <t>Wih Porak</t>
        </is>
      </c>
      <c r="E223" s="24" t="inlineStr">
        <is>
          <t>Kopi Arabika</t>
        </is>
      </c>
      <c r="F223" s="169" t="n">
        <v>17.66</v>
      </c>
      <c r="G223" s="169" t="n">
        <v>400.47</v>
      </c>
      <c r="H223" s="169" t="n">
        <v>88.26000000000001</v>
      </c>
      <c r="I223" s="94" t="n"/>
      <c r="J223" s="94">
        <f>SUM(F223:H223)</f>
        <v/>
      </c>
      <c r="K223" s="170" t="n">
        <v>289705.12</v>
      </c>
      <c r="L223" s="165" t="n">
        <v>166</v>
      </c>
      <c r="M223" s="180" t="n"/>
    </row>
    <row r="224" ht="17.25" customHeight="1">
      <c r="A224" s="35" t="n"/>
      <c r="B224" s="43" t="n"/>
      <c r="C224" s="15" t="n">
        <v>210</v>
      </c>
      <c r="D224" s="91" t="inlineStr">
        <is>
          <t>Alur Gading</t>
        </is>
      </c>
      <c r="E224" s="24" t="inlineStr">
        <is>
          <t>Kopi Arabika</t>
        </is>
      </c>
      <c r="F224" s="169" t="n">
        <v>10.83</v>
      </c>
      <c r="G224" s="169" t="n">
        <v>28.05</v>
      </c>
      <c r="H224" s="169" t="n">
        <v>23.97</v>
      </c>
      <c r="I224" s="94" t="n"/>
      <c r="J224" s="94">
        <f>SUM(F224:H224)</f>
        <v/>
      </c>
      <c r="K224" s="170" t="n">
        <v>18591.11</v>
      </c>
      <c r="L224" s="165" t="n">
        <v>27</v>
      </c>
      <c r="M224" s="180" t="n"/>
    </row>
    <row r="225" ht="17.25" customHeight="1">
      <c r="A225" s="35" t="n"/>
      <c r="B225" s="43" t="n"/>
      <c r="C225" s="15" t="n">
        <v>211</v>
      </c>
      <c r="D225" s="25" t="inlineStr">
        <is>
          <t>Ulu Naron</t>
        </is>
      </c>
      <c r="E225" s="24" t="inlineStr">
        <is>
          <t>Kopi Arabika</t>
        </is>
      </c>
      <c r="F225" s="164" t="n">
        <v>0</v>
      </c>
      <c r="G225" s="164" t="n">
        <v>177.61</v>
      </c>
      <c r="H225" s="164" t="n">
        <v>20.73</v>
      </c>
      <c r="I225" s="39" t="n"/>
      <c r="J225" s="94">
        <f>SUM(F225:H225)</f>
        <v/>
      </c>
      <c r="K225" s="162" t="n">
        <v>133483.32</v>
      </c>
      <c r="L225" s="165" t="n">
        <v>74</v>
      </c>
      <c r="M225" s="180" t="n"/>
    </row>
    <row r="226" ht="17.25" customHeight="1">
      <c r="A226" s="35" t="n"/>
      <c r="B226" s="43" t="n"/>
      <c r="C226" s="15" t="n">
        <v>212</v>
      </c>
      <c r="D226" s="25" t="inlineStr">
        <is>
          <t>Perdamaian</t>
        </is>
      </c>
      <c r="E226" s="24" t="inlineStr">
        <is>
          <t>Kopi Arabika</t>
        </is>
      </c>
      <c r="F226" s="164" t="n">
        <v>44.12</v>
      </c>
      <c r="G226" s="164" t="n">
        <v>414.93</v>
      </c>
      <c r="H226" s="164" t="n">
        <v>102.33</v>
      </c>
      <c r="I226" s="39" t="n"/>
      <c r="J226" s="94">
        <f>SUM(F226:H226)</f>
        <v/>
      </c>
      <c r="K226" s="162" t="n">
        <v>315759.07</v>
      </c>
      <c r="L226" s="165" t="n">
        <v>291</v>
      </c>
      <c r="M226" s="180" t="n"/>
    </row>
    <row r="227" ht="17.25" customHeight="1">
      <c r="A227" s="35" t="n"/>
      <c r="B227" s="43" t="n"/>
      <c r="C227" s="15" t="n">
        <v>213</v>
      </c>
      <c r="D227" s="25" t="inlineStr">
        <is>
          <t>Rime Raya</t>
        </is>
      </c>
      <c r="E227" s="24" t="inlineStr">
        <is>
          <t>Kopi Arabika</t>
        </is>
      </c>
      <c r="F227" s="164" t="n">
        <v>57.32</v>
      </c>
      <c r="G227" s="164" t="n">
        <v>88.73</v>
      </c>
      <c r="H227" s="164" t="n">
        <v>26.57</v>
      </c>
      <c r="I227" s="39" t="n"/>
      <c r="J227" s="94">
        <f>SUM(F227:H227)</f>
        <v/>
      </c>
      <c r="K227" s="162" t="n">
        <v>61276.86</v>
      </c>
      <c r="L227" s="165" t="n">
        <v>109</v>
      </c>
      <c r="M227" s="180" t="n"/>
    </row>
    <row r="228" ht="17.25" customHeight="1">
      <c r="A228" s="35" t="n"/>
      <c r="B228" s="43" t="n"/>
      <c r="C228" s="15" t="n">
        <v>214</v>
      </c>
      <c r="D228" s="25" t="inlineStr">
        <is>
          <t>Taman Firdaus</t>
        </is>
      </c>
      <c r="E228" s="24" t="inlineStr">
        <is>
          <t>Kopi Arabika</t>
        </is>
      </c>
      <c r="F228" s="164" t="n">
        <v>23.36</v>
      </c>
      <c r="G228" s="164" t="n">
        <v>255.87</v>
      </c>
      <c r="H228" s="164" t="n">
        <v>59.93</v>
      </c>
      <c r="I228" s="39" t="n"/>
      <c r="J228" s="94">
        <f>SUM(F228:H228)</f>
        <v/>
      </c>
      <c r="K228" s="162" t="n">
        <v>166253.25</v>
      </c>
      <c r="L228" s="165" t="n">
        <v>94</v>
      </c>
      <c r="M228" s="180" t="n"/>
    </row>
    <row r="229" ht="17.25" customHeight="1">
      <c r="A229" s="35" t="n"/>
      <c r="B229" s="43" t="n"/>
      <c r="C229" s="15" t="n">
        <v>215</v>
      </c>
      <c r="D229" s="25" t="inlineStr">
        <is>
          <t>Pantan Sinaku</t>
        </is>
      </c>
      <c r="E229" s="24" t="inlineStr">
        <is>
          <t>Kopi Arabika</t>
        </is>
      </c>
      <c r="F229" s="164" t="n">
        <v>164.22</v>
      </c>
      <c r="G229" s="164" t="n">
        <v>429.91</v>
      </c>
      <c r="H229" s="164" t="n">
        <v>54.16</v>
      </c>
      <c r="I229" s="39" t="n"/>
      <c r="J229" s="94">
        <f>SUM(F229:H229)</f>
        <v/>
      </c>
      <c r="K229" s="162" t="n">
        <v>334050.03</v>
      </c>
      <c r="L229" s="165" t="n">
        <v>137</v>
      </c>
      <c r="M229" s="180" t="n"/>
    </row>
    <row r="230" ht="17.25" customHeight="1">
      <c r="A230" s="35" t="n"/>
      <c r="B230" s="43" t="n"/>
      <c r="C230" s="15" t="n">
        <v>216</v>
      </c>
      <c r="D230" s="25" t="inlineStr">
        <is>
          <t>Rata Ara</t>
        </is>
      </c>
      <c r="E230" s="24" t="inlineStr">
        <is>
          <t>Kopi Arabika</t>
        </is>
      </c>
      <c r="F230" s="164" t="n">
        <v>53.28</v>
      </c>
      <c r="G230" s="164" t="n">
        <v>309.42</v>
      </c>
      <c r="H230" s="164" t="n">
        <v>25.8</v>
      </c>
      <c r="I230" s="39" t="n"/>
      <c r="J230" s="94">
        <f>SUM(F230:H230)</f>
        <v/>
      </c>
      <c r="K230" s="162" t="n">
        <v>223038.86</v>
      </c>
      <c r="L230" s="165" t="n">
        <v>107</v>
      </c>
      <c r="M230" s="180" t="n"/>
    </row>
    <row r="231" ht="17.25" customHeight="1">
      <c r="A231" s="35" t="n"/>
      <c r="B231" s="43" t="n"/>
      <c r="C231" s="15" t="n">
        <v>217</v>
      </c>
      <c r="D231" s="25" t="inlineStr">
        <is>
          <t>Simpang Lancang</t>
        </is>
      </c>
      <c r="E231" s="24" t="inlineStr">
        <is>
          <t>Kopi Arabika</t>
        </is>
      </c>
      <c r="F231" s="164" t="n">
        <v>9.35</v>
      </c>
      <c r="G231" s="164" t="n">
        <v>303.14</v>
      </c>
      <c r="H231" s="164" t="n">
        <v>94.31</v>
      </c>
      <c r="I231" s="39" t="n"/>
      <c r="J231" s="94">
        <f>SUM(F231:H231)</f>
        <v/>
      </c>
      <c r="K231" s="162" t="n">
        <v>242921.88</v>
      </c>
      <c r="L231" s="165" t="n">
        <v>51</v>
      </c>
      <c r="M231" s="180" t="n"/>
    </row>
    <row r="232" ht="17.25" customHeight="1">
      <c r="A232" s="35" t="n"/>
      <c r="B232" s="43" t="n"/>
      <c r="C232" s="15" t="n">
        <v>218</v>
      </c>
      <c r="D232" s="25" t="inlineStr">
        <is>
          <t>Pancar Jelobok</t>
        </is>
      </c>
      <c r="E232" s="24" t="inlineStr">
        <is>
          <t>Kopi Arabika</t>
        </is>
      </c>
      <c r="F232" s="164" t="n">
        <v>108.2</v>
      </c>
      <c r="G232" s="164" t="n">
        <v>264.36</v>
      </c>
      <c r="H232" s="164" t="n">
        <v>32.18</v>
      </c>
      <c r="I232" s="39" t="n"/>
      <c r="J232" s="94">
        <f>SUM(F232:H232)</f>
        <v/>
      </c>
      <c r="K232" s="162" t="n">
        <v>174873.93</v>
      </c>
      <c r="L232" s="165" t="n">
        <v>228</v>
      </c>
      <c r="M232" s="180" t="n"/>
    </row>
    <row r="233" ht="17.25" customHeight="1">
      <c r="A233" s="35" t="n"/>
      <c r="B233" s="43" t="n"/>
      <c r="C233" s="15" t="n">
        <v>219</v>
      </c>
      <c r="D233" s="25" t="inlineStr">
        <is>
          <t>Blang Ara</t>
        </is>
      </c>
      <c r="E233" s="24" t="inlineStr">
        <is>
          <t>Kopi Arabika</t>
        </is>
      </c>
      <c r="F233" s="164" t="n">
        <v>30.26</v>
      </c>
      <c r="G233" s="164" t="n">
        <v>71.09</v>
      </c>
      <c r="H233" s="164" t="n">
        <v>12.53</v>
      </c>
      <c r="I233" s="39" t="n"/>
      <c r="J233" s="94">
        <f>SUM(F233:H233)</f>
        <v/>
      </c>
      <c r="K233" s="162" t="n">
        <v>55858.75</v>
      </c>
      <c r="L233" s="165" t="n">
        <v>98</v>
      </c>
      <c r="M233" s="180" t="n"/>
    </row>
    <row r="234" ht="17.25" customHeight="1">
      <c r="A234" s="35" t="n"/>
      <c r="B234" s="43" t="n"/>
      <c r="C234" s="15" t="n">
        <v>220</v>
      </c>
      <c r="D234" s="25" t="inlineStr">
        <is>
          <t>Gemasih</t>
        </is>
      </c>
      <c r="E234" s="24" t="inlineStr">
        <is>
          <t>Kopi Arabika</t>
        </is>
      </c>
      <c r="F234" s="164" t="n">
        <v>32.8</v>
      </c>
      <c r="G234" s="164" t="n">
        <v>263.43</v>
      </c>
      <c r="H234" s="164" t="n">
        <v>26.33</v>
      </c>
      <c r="I234" s="39" t="n"/>
      <c r="J234" s="94">
        <f>SUM(F234:H234)</f>
        <v/>
      </c>
      <c r="K234" s="162" t="n">
        <v>206124.79</v>
      </c>
      <c r="L234" s="165" t="n">
        <v>129</v>
      </c>
      <c r="M234" s="180" t="n"/>
    </row>
    <row r="235" ht="17.25" customHeight="1">
      <c r="A235" s="125" t="inlineStr">
        <is>
          <t>Jumlah</t>
        </is>
      </c>
      <c r="B235" s="140" t="n"/>
      <c r="C235" s="140" t="n"/>
      <c r="D235" s="135" t="n"/>
      <c r="E235" s="126" t="n"/>
      <c r="F235" s="30">
        <f>SUM(F215:F234)</f>
        <v/>
      </c>
      <c r="G235" s="30">
        <f>SUM(G215:G234)</f>
        <v/>
      </c>
      <c r="H235" s="30">
        <f>SUM(H215:H234)</f>
        <v/>
      </c>
      <c r="I235" s="30" t="n"/>
      <c r="J235" s="31">
        <f>SUM(J215:J234)</f>
        <v/>
      </c>
      <c r="K235" s="30">
        <f>SUM(K215:K234)</f>
        <v/>
      </c>
      <c r="L235" s="30">
        <f>SUM(L215:L234)</f>
        <v/>
      </c>
      <c r="M235" s="32" t="n"/>
    </row>
    <row r="236" ht="17.25" customHeight="1" thickBot="1">
      <c r="A236" s="132" t="inlineStr">
        <is>
          <t>TOTAL</t>
        </is>
      </c>
      <c r="B236" s="181" t="n"/>
      <c r="C236" s="181" t="n"/>
      <c r="D236" s="182" t="n"/>
      <c r="E236" s="133" t="n"/>
      <c r="F236" s="118">
        <f>F235+F214+F203+F167+F154+F113+F107+F80+F64+F36</f>
        <v/>
      </c>
      <c r="G236" s="118">
        <f>G235+G214+G203+G167+G154+G113+G107+G80+G64+G36</f>
        <v/>
      </c>
      <c r="H236" s="118">
        <f>H235+H214+H203+H167+H154+H113+H107+H80+H64+H36</f>
        <v/>
      </c>
      <c r="I236" s="118" t="n"/>
      <c r="J236" s="118">
        <f>J235+J214+J203+J167+J154+J113+J107+J80+J64+J36</f>
        <v/>
      </c>
      <c r="K236" s="118">
        <f>K235+K214+K203+K167+K154+K113+K107+K80+K64+K36</f>
        <v/>
      </c>
      <c r="L236" s="118">
        <f>L235+L214+L203+L167+L154+L113+L107+L80+L64+L36</f>
        <v/>
      </c>
      <c r="M236" s="119" t="n"/>
      <c r="N236" s="183" t="n"/>
    </row>
    <row r="237" ht="15.75" customHeight="1" thickTop="1">
      <c r="B237" s="121" t="inlineStr">
        <is>
          <t>Sumber Data</t>
        </is>
      </c>
      <c r="C237" s="122" t="inlineStr">
        <is>
          <t xml:space="preserve">:  BPP Masing-masing Kecamatan berkoordinasi dengan Reje Kampung </t>
        </is>
      </c>
      <c r="D237" s="122" t="n"/>
    </row>
    <row r="238" ht="15.75" customHeight="1">
      <c r="K238" s="123" t="inlineStr">
        <is>
          <t>Redelong, 3 Juli 2022</t>
        </is>
      </c>
    </row>
    <row r="239" ht="15.75" customHeight="1">
      <c r="K239" s="123" t="inlineStr">
        <is>
          <t>Kepala Dinas Pertanian dan Pangan</t>
        </is>
      </c>
    </row>
    <row r="240" ht="15.75" customHeight="1">
      <c r="D240" s="183">
        <f>K236/1000</f>
        <v/>
      </c>
      <c r="K240" s="123" t="inlineStr">
        <is>
          <t>Kabupaten Bener Meriah</t>
        </is>
      </c>
    </row>
    <row r="241" ht="15.75" customHeight="1">
      <c r="K241" s="123" t="n"/>
      <c r="N241" s="141" t="n"/>
    </row>
    <row r="242" ht="15.75" customHeight="1">
      <c r="F242" s="183" t="n"/>
      <c r="K242" s="123" t="n"/>
      <c r="N242" s="142" t="n"/>
    </row>
    <row r="243" ht="15.75" customHeight="1">
      <c r="K243" s="124" t="inlineStr">
        <is>
          <t>Uswatun Hasanah, SP, MP</t>
        </is>
      </c>
      <c r="N243" s="1" t="n"/>
    </row>
    <row r="244" ht="15.75" customHeight="1">
      <c r="K244" s="123" t="inlineStr">
        <is>
          <t>Pembina / IV.a</t>
        </is>
      </c>
      <c r="N244" s="142" t="n"/>
    </row>
    <row r="245" ht="15.75" customHeight="1">
      <c r="K245" s="123" t="inlineStr">
        <is>
          <t>Nip : 19770528 200604 2 001</t>
        </is>
      </c>
    </row>
    <row r="246" ht="15.75" customHeight="1">
      <c r="K246" s="123" t="inlineStr">
        <is>
          <t>SP Nomor : Peg.875/831/2022</t>
        </is>
      </c>
    </row>
    <row r="247" ht="15.75" customHeight="1">
      <c r="K247" s="123" t="inlineStr">
        <is>
          <t>Tanggal 1 Juli 2022</t>
        </is>
      </c>
    </row>
    <row r="248"/>
    <row r="249"/>
  </sheetData>
  <mergeCells count="14">
    <mergeCell ref="A80:D80"/>
    <mergeCell ref="A203:D203"/>
    <mergeCell ref="A236:D236"/>
    <mergeCell ref="A154:D154"/>
    <mergeCell ref="A214:D214"/>
    <mergeCell ref="A167:D167"/>
    <mergeCell ref="A1:M2"/>
    <mergeCell ref="C5:D5"/>
    <mergeCell ref="A64:D64"/>
    <mergeCell ref="A113:D113"/>
    <mergeCell ref="A235:D235"/>
    <mergeCell ref="A107:D107"/>
    <mergeCell ref="A36:D36"/>
    <mergeCell ref="C4:D4"/>
  </mergeCells>
  <conditionalFormatting sqref="D7:D35">
    <cfRule type="duplicateValues" priority="5" dxfId="4"/>
  </conditionalFormatting>
  <conditionalFormatting sqref="D66:D79">
    <cfRule type="duplicateValues" priority="4" dxfId="0"/>
  </conditionalFormatting>
  <conditionalFormatting sqref="D82:D106">
    <cfRule type="duplicateValues" priority="3" dxfId="0"/>
  </conditionalFormatting>
  <conditionalFormatting sqref="D115:D153">
    <cfRule type="duplicateValues" priority="2" dxfId="0"/>
  </conditionalFormatting>
  <conditionalFormatting sqref="D156:D166">
    <cfRule type="duplicateValues" priority="1" dxfId="0"/>
  </conditionalFormatting>
  <printOptions horizontalCentered="1"/>
  <pageMargins left="0.3149606299212598" right="0.3149606299212598" top="0.3543307086614174" bottom="0.2362204724409449" header="0.3149606299212598" footer="0.3149606299212598"/>
  <pageSetup orientation="landscape" paperSize="9" scale="7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BIDANG PERKEBUNAN</dc:creator>
  <dcterms:created xmlns:dcterms="http://purl.org/dc/terms/" xmlns:xsi="http://www.w3.org/2001/XMLSchema-instance" xsi:type="dcterms:W3CDTF">2026-03-31T04:23:39Z</dcterms:created>
  <dcterms:modified xmlns:dcterms="http://purl.org/dc/terms/" xmlns:xsi="http://www.w3.org/2001/XMLSchema-instance" xsi:type="dcterms:W3CDTF">2026-05-08T03:35:25Z</dcterms:modified>
  <cp:lastModifiedBy>Mahadika Nafiz Luqman</cp:lastModifiedBy>
</cp:coreProperties>
</file>