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Z:\"/>
    </mc:Choice>
  </mc:AlternateContent>
  <xr:revisionPtr revIDLastSave="0" documentId="13_ncr:1_{39554429-5DA1-4E86-94B7-554F5CABF455}" xr6:coauthVersionLast="47" xr6:coauthVersionMax="47" xr10:uidLastSave="{00000000-0000-0000-0000-000000000000}"/>
  <bookViews>
    <workbookView xWindow="1170" yWindow="4530" windowWidth="21600" windowHeight="12330" tabRatio="500" xr2:uid="{00000000-000D-0000-FFFF-FFFF00000000}"/>
  </bookViews>
  <sheets>
    <sheet name="ARABIKA (3)" sheetId="1" r:id="rId1"/>
  </sheets>
  <definedNames>
    <definedName name="_xlnm.Print_Area" localSheetId="0">'ARABIKA (3)'!$A$1:$M$253</definedName>
    <definedName name="_xlnm.Print_Titles" localSheetId="0">'ARABIKA (3)'!$4:$5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L235" i="1" l="1"/>
  <c r="K235" i="1"/>
  <c r="H235" i="1"/>
  <c r="G235" i="1"/>
  <c r="F235" i="1"/>
  <c r="F236" i="1" s="1"/>
  <c r="J234" i="1"/>
  <c r="J233" i="1"/>
  <c r="J232" i="1"/>
  <c r="J231" i="1"/>
  <c r="J230" i="1"/>
  <c r="J229" i="1"/>
  <c r="J228" i="1"/>
  <c r="J227" i="1"/>
  <c r="J226" i="1"/>
  <c r="J225" i="1"/>
  <c r="J224" i="1"/>
  <c r="J223" i="1"/>
  <c r="J222" i="1"/>
  <c r="J221" i="1"/>
  <c r="J220" i="1"/>
  <c r="J219" i="1"/>
  <c r="J218" i="1"/>
  <c r="J235" i="1" s="1"/>
  <c r="J217" i="1"/>
  <c r="J216" i="1"/>
  <c r="J215" i="1"/>
  <c r="L214" i="1"/>
  <c r="L236" i="1" s="1"/>
  <c r="K214" i="1"/>
  <c r="K236" i="1" s="1"/>
  <c r="H214" i="1"/>
  <c r="H236" i="1" s="1"/>
  <c r="G214" i="1"/>
  <c r="G236" i="1" s="1"/>
  <c r="F214" i="1"/>
  <c r="J213" i="1"/>
  <c r="J212" i="1"/>
  <c r="J211" i="1"/>
  <c r="J210" i="1"/>
  <c r="J209" i="1"/>
  <c r="J208" i="1"/>
  <c r="J207" i="1"/>
  <c r="J214" i="1" s="1"/>
  <c r="J206" i="1"/>
  <c r="N205" i="1"/>
  <c r="J205" i="1"/>
  <c r="J204" i="1"/>
  <c r="L203" i="1"/>
  <c r="K203" i="1"/>
  <c r="H203" i="1"/>
  <c r="G203" i="1"/>
  <c r="F203" i="1"/>
  <c r="J202" i="1"/>
  <c r="J201" i="1"/>
  <c r="J200" i="1"/>
  <c r="J199" i="1"/>
  <c r="J198" i="1"/>
  <c r="J197" i="1"/>
  <c r="J196" i="1"/>
  <c r="J195" i="1"/>
  <c r="J194" i="1"/>
  <c r="J193" i="1"/>
  <c r="J192" i="1"/>
  <c r="J191" i="1"/>
  <c r="J190" i="1"/>
  <c r="J189" i="1"/>
  <c r="J188" i="1"/>
  <c r="J187" i="1"/>
  <c r="J186" i="1"/>
  <c r="J185" i="1"/>
  <c r="J184" i="1"/>
  <c r="J183" i="1"/>
  <c r="J182" i="1"/>
  <c r="J181" i="1"/>
  <c r="J180" i="1"/>
  <c r="J179" i="1"/>
  <c r="J178" i="1"/>
  <c r="J177" i="1"/>
  <c r="J176" i="1"/>
  <c r="J175" i="1"/>
  <c r="J174" i="1"/>
  <c r="J173" i="1"/>
  <c r="J172" i="1"/>
  <c r="J171" i="1"/>
  <c r="J170" i="1"/>
  <c r="J169" i="1"/>
  <c r="J168" i="1"/>
  <c r="J203" i="1" s="1"/>
  <c r="L167" i="1"/>
  <c r="K167" i="1"/>
  <c r="H167" i="1"/>
  <c r="G167" i="1"/>
  <c r="F167" i="1"/>
  <c r="J166" i="1"/>
  <c r="J165" i="1"/>
  <c r="J164" i="1"/>
  <c r="J163" i="1"/>
  <c r="J162" i="1"/>
  <c r="J161" i="1"/>
  <c r="J160" i="1"/>
  <c r="J159" i="1"/>
  <c r="J158" i="1"/>
  <c r="J157" i="1"/>
  <c r="J156" i="1"/>
  <c r="J167" i="1" s="1"/>
  <c r="N168" i="1" s="1"/>
  <c r="N169" i="1" s="1"/>
  <c r="J155" i="1"/>
  <c r="L154" i="1"/>
  <c r="K154" i="1"/>
  <c r="H154" i="1"/>
  <c r="G154" i="1"/>
  <c r="F154" i="1"/>
  <c r="J153" i="1"/>
  <c r="J152" i="1"/>
  <c r="J151" i="1"/>
  <c r="J150" i="1"/>
  <c r="J149" i="1"/>
  <c r="J148" i="1"/>
  <c r="J147" i="1"/>
  <c r="J146" i="1"/>
  <c r="J145" i="1"/>
  <c r="J144" i="1"/>
  <c r="J143" i="1"/>
  <c r="J142" i="1"/>
  <c r="J141" i="1"/>
  <c r="J140" i="1"/>
  <c r="J139" i="1"/>
  <c r="J138" i="1"/>
  <c r="J137" i="1"/>
  <c r="J136" i="1"/>
  <c r="J135" i="1"/>
  <c r="J134" i="1"/>
  <c r="J133" i="1"/>
  <c r="J132" i="1"/>
  <c r="J131" i="1"/>
  <c r="J130" i="1"/>
  <c r="J129" i="1"/>
  <c r="J128" i="1"/>
  <c r="J127" i="1"/>
  <c r="J126" i="1"/>
  <c r="J125" i="1"/>
  <c r="J124" i="1"/>
  <c r="J123" i="1"/>
  <c r="J122" i="1"/>
  <c r="J121" i="1"/>
  <c r="J120" i="1"/>
  <c r="J119" i="1"/>
  <c r="J118" i="1"/>
  <c r="J117" i="1"/>
  <c r="J116" i="1"/>
  <c r="J115" i="1"/>
  <c r="J114" i="1"/>
  <c r="J154" i="1" s="1"/>
  <c r="L113" i="1"/>
  <c r="K113" i="1"/>
  <c r="G113" i="1"/>
  <c r="F113" i="1"/>
  <c r="J112" i="1"/>
  <c r="J111" i="1"/>
  <c r="J110" i="1"/>
  <c r="J109" i="1"/>
  <c r="J113" i="1" s="1"/>
  <c r="J108" i="1"/>
  <c r="L107" i="1"/>
  <c r="K107" i="1"/>
  <c r="H107" i="1"/>
  <c r="G107" i="1"/>
  <c r="F107" i="1"/>
  <c r="J106" i="1"/>
  <c r="J105" i="1"/>
  <c r="J104" i="1"/>
  <c r="J103" i="1"/>
  <c r="J102" i="1"/>
  <c r="J101" i="1"/>
  <c r="J100" i="1"/>
  <c r="J99" i="1"/>
  <c r="J98" i="1"/>
  <c r="J97" i="1"/>
  <c r="J96" i="1"/>
  <c r="J95" i="1"/>
  <c r="J94" i="1"/>
  <c r="J93" i="1"/>
  <c r="J92" i="1"/>
  <c r="J91" i="1"/>
  <c r="J90" i="1"/>
  <c r="J89" i="1"/>
  <c r="J88" i="1"/>
  <c r="J87" i="1"/>
  <c r="J86" i="1"/>
  <c r="J85" i="1"/>
  <c r="J84" i="1"/>
  <c r="J83" i="1"/>
  <c r="J82" i="1"/>
  <c r="J107" i="1" s="1"/>
  <c r="J81" i="1"/>
  <c r="L80" i="1"/>
  <c r="K80" i="1"/>
  <c r="H80" i="1"/>
  <c r="G80" i="1"/>
  <c r="F80" i="1"/>
  <c r="J79" i="1"/>
  <c r="J78" i="1"/>
  <c r="J77" i="1"/>
  <c r="J76" i="1"/>
  <c r="J75" i="1"/>
  <c r="J74" i="1"/>
  <c r="J73" i="1"/>
  <c r="J72" i="1"/>
  <c r="J71" i="1"/>
  <c r="J70" i="1"/>
  <c r="J69" i="1"/>
  <c r="J68" i="1"/>
  <c r="J67" i="1"/>
  <c r="J66" i="1"/>
  <c r="J65" i="1"/>
  <c r="J80" i="1" s="1"/>
  <c r="L64" i="1"/>
  <c r="K64" i="1"/>
  <c r="H64" i="1"/>
  <c r="G64" i="1"/>
  <c r="F64" i="1"/>
  <c r="N63" i="1"/>
  <c r="J63" i="1"/>
  <c r="I63" i="1"/>
  <c r="N62" i="1"/>
  <c r="J62" i="1"/>
  <c r="I62" i="1"/>
  <c r="N61" i="1"/>
  <c r="J61" i="1"/>
  <c r="I61" i="1"/>
  <c r="N60" i="1"/>
  <c r="J60" i="1"/>
  <c r="I60" i="1"/>
  <c r="N59" i="1"/>
  <c r="J59" i="1"/>
  <c r="I59" i="1"/>
  <c r="N58" i="1"/>
  <c r="J58" i="1"/>
  <c r="I58" i="1"/>
  <c r="N57" i="1"/>
  <c r="J57" i="1"/>
  <c r="I57" i="1"/>
  <c r="N56" i="1"/>
  <c r="J56" i="1"/>
  <c r="I56" i="1"/>
  <c r="N55" i="1"/>
  <c r="J55" i="1"/>
  <c r="I55" i="1"/>
  <c r="N54" i="1"/>
  <c r="J54" i="1"/>
  <c r="I54" i="1"/>
  <c r="N53" i="1"/>
  <c r="J53" i="1"/>
  <c r="I53" i="1"/>
  <c r="N52" i="1"/>
  <c r="J52" i="1"/>
  <c r="I52" i="1"/>
  <c r="N51" i="1"/>
  <c r="J51" i="1"/>
  <c r="I51" i="1"/>
  <c r="N50" i="1"/>
  <c r="J50" i="1"/>
  <c r="I50" i="1"/>
  <c r="N49" i="1"/>
  <c r="J49" i="1"/>
  <c r="I49" i="1"/>
  <c r="N48" i="1"/>
  <c r="J48" i="1"/>
  <c r="I48" i="1"/>
  <c r="N47" i="1"/>
  <c r="J47" i="1"/>
  <c r="I47" i="1"/>
  <c r="N46" i="1"/>
  <c r="J46" i="1"/>
  <c r="I46" i="1"/>
  <c r="N45" i="1"/>
  <c r="J45" i="1"/>
  <c r="I45" i="1"/>
  <c r="N44" i="1"/>
  <c r="J44" i="1"/>
  <c r="I44" i="1"/>
  <c r="N43" i="1"/>
  <c r="J43" i="1"/>
  <c r="I43" i="1"/>
  <c r="N42" i="1"/>
  <c r="J42" i="1"/>
  <c r="I42" i="1"/>
  <c r="N41" i="1"/>
  <c r="J41" i="1"/>
  <c r="I41" i="1"/>
  <c r="N40" i="1"/>
  <c r="J40" i="1"/>
  <c r="I40" i="1"/>
  <c r="N39" i="1"/>
  <c r="J39" i="1"/>
  <c r="I39" i="1"/>
  <c r="N38" i="1"/>
  <c r="J38" i="1"/>
  <c r="I38" i="1"/>
  <c r="N37" i="1"/>
  <c r="J37" i="1"/>
  <c r="J64" i="1" s="1"/>
  <c r="I37" i="1"/>
  <c r="L36" i="1"/>
  <c r="K36" i="1"/>
  <c r="H36" i="1"/>
  <c r="G36" i="1"/>
  <c r="F36" i="1"/>
  <c r="J35" i="1"/>
  <c r="J34" i="1"/>
  <c r="J33" i="1"/>
  <c r="J32" i="1"/>
  <c r="J31" i="1"/>
  <c r="J30" i="1"/>
  <c r="J29" i="1"/>
  <c r="J28" i="1"/>
  <c r="J27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36" i="1" s="1"/>
  <c r="J236" i="1" l="1"/>
  <c r="N242" i="1" s="1"/>
  <c r="N244" i="1" s="1"/>
  <c r="D240" i="1"/>
  <c r="N236" i="1"/>
</calcChain>
</file>

<file path=xl/sharedStrings.xml><?xml version="1.0" encoding="utf-8"?>
<sst xmlns="http://schemas.openxmlformats.org/spreadsheetml/2006/main" count="502" uniqueCount="264">
  <si>
    <t xml:space="preserve">LAPORAN LUAS LAHAN PERKEBUNAN </t>
  </si>
  <si>
    <t>No</t>
  </si>
  <si>
    <t xml:space="preserve">Kecamatan </t>
  </si>
  <si>
    <t>Desa</t>
  </si>
  <si>
    <t>Komoditi</t>
  </si>
  <si>
    <t>TBM (Ha)</t>
  </si>
  <si>
    <t>TM (Ha)</t>
  </si>
  <si>
    <t>TTR (Ha)</t>
  </si>
  <si>
    <t>Penambahan15 %</t>
  </si>
  <si>
    <t>Total Luas Lahan (Ha)</t>
  </si>
  <si>
    <t>Produksi (Kg)</t>
  </si>
  <si>
    <t>Jumlah Petani (KK)</t>
  </si>
  <si>
    <t>Keterangan</t>
  </si>
  <si>
    <t>I.</t>
  </si>
  <si>
    <t>Timang Gajah</t>
  </si>
  <si>
    <t>Kenine</t>
  </si>
  <si>
    <t>Kopi Arabika</t>
  </si>
  <si>
    <t>Fajar Harapan</t>
  </si>
  <si>
    <t>Damaran Baru</t>
  </si>
  <si>
    <t>Pantan Pediangan</t>
  </si>
  <si>
    <t>Bandar Lampahan</t>
  </si>
  <si>
    <t>Rembune</t>
  </si>
  <si>
    <t>Mude Benara</t>
  </si>
  <si>
    <t>Bumi Ayu</t>
  </si>
  <si>
    <t>Karang Jadi</t>
  </si>
  <si>
    <t>Kampung Baru 76</t>
  </si>
  <si>
    <t>Lampahan Timur</t>
  </si>
  <si>
    <t>Lampahan</t>
  </si>
  <si>
    <t>Bukit Mulie</t>
  </si>
  <si>
    <t>Suka Damai</t>
  </si>
  <si>
    <t>Sumber Jaya</t>
  </si>
  <si>
    <t>Lampahan Barat</t>
  </si>
  <si>
    <t>Mekar Ayu</t>
  </si>
  <si>
    <t>Datu Beru</t>
  </si>
  <si>
    <t>Timang Rasa</t>
  </si>
  <si>
    <t>Kulem Parakanis</t>
  </si>
  <si>
    <t>Linung Bale</t>
  </si>
  <si>
    <t>Gunung Tunyang</t>
  </si>
  <si>
    <t>Bukit Tunyang</t>
  </si>
  <si>
    <t>Gegur Sepakat</t>
  </si>
  <si>
    <t>Tunyang</t>
  </si>
  <si>
    <t>Simpang Layang</t>
  </si>
  <si>
    <t>Blang Rongka</t>
  </si>
  <si>
    <t>Setie</t>
  </si>
  <si>
    <t>Cekal Baru</t>
  </si>
  <si>
    <t>Pantan Kemuning</t>
  </si>
  <si>
    <t>Jumlah</t>
  </si>
  <si>
    <t>II.</t>
  </si>
  <si>
    <t>Permata</t>
  </si>
  <si>
    <t>Buntul Peteri</t>
  </si>
  <si>
    <t>Bale Musara</t>
  </si>
  <si>
    <t>Jungke</t>
  </si>
  <si>
    <t>Kepies</t>
  </si>
  <si>
    <t>Seni Antara</t>
  </si>
  <si>
    <t>Pantan Tengah Jaya</t>
  </si>
  <si>
    <t>Ayu Ara</t>
  </si>
  <si>
    <t>Rikit Musara</t>
  </si>
  <si>
    <t>Suku Sara Tangke</t>
  </si>
  <si>
    <t>Ramung Jaya</t>
  </si>
  <si>
    <t>Timur Jaya</t>
  </si>
  <si>
    <t>Ceding Ayu</t>
  </si>
  <si>
    <t>Darul Aman</t>
  </si>
  <si>
    <t>Burni Pase</t>
  </si>
  <si>
    <t>Wih Tenang Uken</t>
  </si>
  <si>
    <t>Bintang Permata</t>
  </si>
  <si>
    <t>Uning Sejuk</t>
  </si>
  <si>
    <t>Wih Tenang Toa/Bakongan Baru</t>
  </si>
  <si>
    <t>Jelobok</t>
  </si>
  <si>
    <t>Penosan Jaya</t>
  </si>
  <si>
    <t>Bener Pepanyi</t>
  </si>
  <si>
    <t>Bintang Bener</t>
  </si>
  <si>
    <t>Pemango</t>
  </si>
  <si>
    <t>Gelampang Wih Tenang Uken</t>
  </si>
  <si>
    <t>Bale Purnama</t>
  </si>
  <si>
    <t>Temas Mumanang</t>
  </si>
  <si>
    <t>Tawar Bengi</t>
  </si>
  <si>
    <t>III.</t>
  </si>
  <si>
    <t>Mesidah</t>
  </si>
  <si>
    <t>Amor</t>
  </si>
  <si>
    <t>Buntul Gayo</t>
  </si>
  <si>
    <t>Weh Resap</t>
  </si>
  <si>
    <t>Pantan Kuli</t>
  </si>
  <si>
    <t>Cemparam Lama</t>
  </si>
  <si>
    <t>Cemparam Pakat Jeroh</t>
  </si>
  <si>
    <t>Cemparam Jaya</t>
  </si>
  <si>
    <t>Jamur Atu</t>
  </si>
  <si>
    <t>Simpang Renggali</t>
  </si>
  <si>
    <t>Gunung Sayang</t>
  </si>
  <si>
    <t>Uwer Tingkem</t>
  </si>
  <si>
    <t>Perumpaken Benjadi</t>
  </si>
  <si>
    <t>Simpur</t>
  </si>
  <si>
    <t>Hakim Peteri Pintu</t>
  </si>
  <si>
    <t>Sosial</t>
  </si>
  <si>
    <t>IV.</t>
  </si>
  <si>
    <t>Wih Pesam</t>
  </si>
  <si>
    <t>Blang Benara</t>
  </si>
  <si>
    <t>-</t>
  </si>
  <si>
    <t>Blang Paku</t>
  </si>
  <si>
    <t>Blang Kucak</t>
  </si>
  <si>
    <t>Burni Telong</t>
  </si>
  <si>
    <t>Cinta Damai</t>
  </si>
  <si>
    <t>Jamur Ujung</t>
  </si>
  <si>
    <t>Kebun Baru</t>
  </si>
  <si>
    <t>Lut Kucak</t>
  </si>
  <si>
    <t>Pante Raya</t>
  </si>
  <si>
    <t>Bukit Pepanyi</t>
  </si>
  <si>
    <t>Simpang Teritit</t>
  </si>
  <si>
    <t>Suka Jadi</t>
  </si>
  <si>
    <t>Suka Makmur Timur</t>
  </si>
  <si>
    <t>Suka Makmur</t>
  </si>
  <si>
    <t>Suka Ramai Atas</t>
  </si>
  <si>
    <t>Suka Ramai Bawah</t>
  </si>
  <si>
    <t>Syura Jadi</t>
  </si>
  <si>
    <t>Wono Sobo</t>
  </si>
  <si>
    <t>Simpang Antara</t>
  </si>
  <si>
    <t>Merie Satu</t>
  </si>
  <si>
    <t>Jamur Uluh</t>
  </si>
  <si>
    <t>Simpang Balik</t>
  </si>
  <si>
    <t>Bener Mulie</t>
  </si>
  <si>
    <t>Bener Ayu</t>
  </si>
  <si>
    <t>Gegerung</t>
  </si>
  <si>
    <t>V.</t>
  </si>
  <si>
    <t>Syiah Utama</t>
  </si>
  <si>
    <t>Tembolon</t>
  </si>
  <si>
    <t>Rusip</t>
  </si>
  <si>
    <t xml:space="preserve">wihni Durin </t>
  </si>
  <si>
    <t xml:space="preserve">Blang Panu </t>
  </si>
  <si>
    <t xml:space="preserve">Rata Mulie </t>
  </si>
  <si>
    <t>VI.</t>
  </si>
  <si>
    <t>Bukit</t>
  </si>
  <si>
    <t>Bale Redelong</t>
  </si>
  <si>
    <t>Ujung Gele</t>
  </si>
  <si>
    <t>Bale Atu</t>
  </si>
  <si>
    <t>Babussalam</t>
  </si>
  <si>
    <t>Hakim Tungul Naru</t>
  </si>
  <si>
    <t>Blang Panas</t>
  </si>
  <si>
    <t>Blang Tampu</t>
  </si>
  <si>
    <t>Serule Kayu</t>
  </si>
  <si>
    <t>Kute Tanyung</t>
  </si>
  <si>
    <t>Delung Tue</t>
  </si>
  <si>
    <t>Delung Asli</t>
  </si>
  <si>
    <t>Pilar Jaya</t>
  </si>
  <si>
    <t>Uning Bersah</t>
  </si>
  <si>
    <t>Uning Teritit</t>
  </si>
  <si>
    <t>Bathin Wih Pongas</t>
  </si>
  <si>
    <t>Tingkem Asli</t>
  </si>
  <si>
    <t>Tingkem Benyer</t>
  </si>
  <si>
    <t>Tingkem Bersatu</t>
  </si>
  <si>
    <t>Blang Sentang</t>
  </si>
  <si>
    <t>Reje Guru</t>
  </si>
  <si>
    <t>Mutiara Baru</t>
  </si>
  <si>
    <t>Bukit Bersatu</t>
  </si>
  <si>
    <t xml:space="preserve">Blang Ara </t>
  </si>
  <si>
    <t>Waq Pondok Sayur</t>
  </si>
  <si>
    <t>Panji Mulia I</t>
  </si>
  <si>
    <t>Panji Mulia II</t>
  </si>
  <si>
    <t xml:space="preserve">Rembele </t>
  </si>
  <si>
    <t>Karang Rejo</t>
  </si>
  <si>
    <t>Kute Kering</t>
  </si>
  <si>
    <t>Kute Lintang</t>
  </si>
  <si>
    <t xml:space="preserve">Isaq Busur </t>
  </si>
  <si>
    <t>Meluem</t>
  </si>
  <si>
    <t>Bujang</t>
  </si>
  <si>
    <t>Godang</t>
  </si>
  <si>
    <t>Uring</t>
  </si>
  <si>
    <t>Kenawat Redelong</t>
  </si>
  <si>
    <t>Paya Gajah</t>
  </si>
  <si>
    <t>Pasar Simpang Tiga</t>
  </si>
  <si>
    <t>Sedie Jadi</t>
  </si>
  <si>
    <t>Mupakat Jadi</t>
  </si>
  <si>
    <t>VII.</t>
  </si>
  <si>
    <t>Bener Kelipah</t>
  </si>
  <si>
    <t>Nosar Baru</t>
  </si>
  <si>
    <t>Nosar Tawar Jaya</t>
  </si>
  <si>
    <t>Bandar Jaya</t>
  </si>
  <si>
    <t>Lot Bener Kelpah</t>
  </si>
  <si>
    <t>Bener Kelipah Utara</t>
  </si>
  <si>
    <t>Bener Kelipah Selatan</t>
  </si>
  <si>
    <t>Gunung Musara</t>
  </si>
  <si>
    <t>Jongok Meluem</t>
  </si>
  <si>
    <t>Kala Tenang</t>
  </si>
  <si>
    <t>Bintang Musara</t>
  </si>
  <si>
    <t>Suku Bener</t>
  </si>
  <si>
    <t>Bener Lukup</t>
  </si>
  <si>
    <t>VIII.</t>
  </si>
  <si>
    <t>Bandar</t>
  </si>
  <si>
    <t>Pondok Baru</t>
  </si>
  <si>
    <t>Janarata</t>
  </si>
  <si>
    <t>Mutiara</t>
  </si>
  <si>
    <t>Puja Mulia</t>
  </si>
  <si>
    <t>Purwosari</t>
  </si>
  <si>
    <t>Tawar Sedenge</t>
  </si>
  <si>
    <t>Simpang Utama</t>
  </si>
  <si>
    <t>Makmur Sentosa</t>
  </si>
  <si>
    <t>Pondok Gajah</t>
  </si>
  <si>
    <t>Bathin Baru</t>
  </si>
  <si>
    <t>Suku Wih Ilang</t>
  </si>
  <si>
    <t>Gele Semayang</t>
  </si>
  <si>
    <t>Bukit Wih Ilang</t>
  </si>
  <si>
    <t>Bahgie Bertona</t>
  </si>
  <si>
    <t>Pondok Ulung</t>
  </si>
  <si>
    <t>Kala Nempan</t>
  </si>
  <si>
    <t>Pakat Jeroh</t>
  </si>
  <si>
    <t>Selisih Mara</t>
  </si>
  <si>
    <t>Selamat Rejo</t>
  </si>
  <si>
    <t>Hakim Wih Ilang</t>
  </si>
  <si>
    <t>Lewa Jadi</t>
  </si>
  <si>
    <t>Gunung Antara</t>
  </si>
  <si>
    <t>Remang Ketike Jaya</t>
  </si>
  <si>
    <t>Tanjung Pura</t>
  </si>
  <si>
    <t>Beranun Teleden</t>
  </si>
  <si>
    <t>Keramat Jaya</t>
  </si>
  <si>
    <t>Jadi Sepakat</t>
  </si>
  <si>
    <t>Sidodadi</t>
  </si>
  <si>
    <t>Petukel Blang Jorong</t>
  </si>
  <si>
    <t>Paya Baning</t>
  </si>
  <si>
    <t>Wonosari</t>
  </si>
  <si>
    <t>Tansaran Bidin</t>
  </si>
  <si>
    <t>Blang Pulo</t>
  </si>
  <si>
    <t>Sinar Jaya Paya Ringkel</t>
  </si>
  <si>
    <t>Muyang Kute Mangku</t>
  </si>
  <si>
    <t>IX.</t>
  </si>
  <si>
    <t>Gajah Putih</t>
  </si>
  <si>
    <t>Simpang Rahmat</t>
  </si>
  <si>
    <t>Reronga</t>
  </si>
  <si>
    <t>Gayo Setie</t>
  </si>
  <si>
    <t xml:space="preserve">Umah Besi </t>
  </si>
  <si>
    <t>Meriah Jaya</t>
  </si>
  <si>
    <t xml:space="preserve">Alam Jaya </t>
  </si>
  <si>
    <t>Pante Karya</t>
  </si>
  <si>
    <t>Pantan Lues</t>
  </si>
  <si>
    <t>X.</t>
  </si>
  <si>
    <t>Pintu Rime Gayo</t>
  </si>
  <si>
    <t>Bintang Berangun</t>
  </si>
  <si>
    <t>Pulo Intan</t>
  </si>
  <si>
    <t>Singah Mulo</t>
  </si>
  <si>
    <t>Alur Cincin</t>
  </si>
  <si>
    <t>Musara 58</t>
  </si>
  <si>
    <t>Uning Mas</t>
  </si>
  <si>
    <t>Blang Rakal</t>
  </si>
  <si>
    <t>Bener Meriah</t>
  </si>
  <si>
    <t>Wih Porak</t>
  </si>
  <si>
    <t>Alur Gading</t>
  </si>
  <si>
    <t>Ulu Naron</t>
  </si>
  <si>
    <t>Perdamaian</t>
  </si>
  <si>
    <t>Rime Raya</t>
  </si>
  <si>
    <t>Taman Firdaus</t>
  </si>
  <si>
    <t>Pantan Sinaku</t>
  </si>
  <si>
    <t>Rata Ara</t>
  </si>
  <si>
    <t>Simpang Lancang</t>
  </si>
  <si>
    <t>Pancar Jelobok</t>
  </si>
  <si>
    <t>Blang Ara</t>
  </si>
  <si>
    <t>Gemasih</t>
  </si>
  <si>
    <t>TOTAL</t>
  </si>
  <si>
    <t>Sumber Data</t>
  </si>
  <si>
    <t xml:space="preserve">:  BPP Masing-masing Kecamatan berkoordinasi dengan Reje Kampung </t>
  </si>
  <si>
    <t>Kepala Dinas Pertanian dan Pangan</t>
  </si>
  <si>
    <t>Kabupaten Bener Meriah</t>
  </si>
  <si>
    <t>Uswatun Hasanah, SP, MP</t>
  </si>
  <si>
    <t>Pembina / IV.a</t>
  </si>
  <si>
    <t>Nip : 19770528 200604 2 001</t>
  </si>
  <si>
    <t>Redelong, 3 Juli 2024</t>
  </si>
  <si>
    <t>SP Nomor : Peg.875/831/2024</t>
  </si>
  <si>
    <t>Tanggal 1 Juli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</si>
</sst>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_);_(* \(#,##0\);_(* \-_);_(@_)"/>
    <numFmt numFmtId="165" formatCode="_-* #,##0.00_-;\-* #,##0.00_-;_-* \-_-;_-@_-"/>
    <numFmt numFmtId="166" formatCode="_-* #,##0_-;\-* #,##0_-;_-* \-_-;_-@_-"/>
    <numFmt numFmtId="167" formatCode="_(* #,##0.00_);_(* \(#,##0.00\);_(* \-??_);_(@_)"/>
    <numFmt numFmtId="168" formatCode="_-* #,##0.00_-;\-* #,##0.00_-;_-* \-??_-;_-@_-"/>
    <numFmt numFmtId="169" formatCode="_(* #,##0.0_);_(* \(#,##0.0\);_(* \-??_);_(@_)"/>
    <numFmt numFmtId="170" formatCode="_(* #,##0_);_(* \(#,##0\);_(* \-??_);_(@_)"/>
  </numFmts>
  <fonts count="15" x14ac:knownFonts="1">
    <font>
      <sz val="11"/>
      <color theme="1"/>
      <name val="Calibri"/>
      <family val="2"/>
      <charset val="1"/>
    </font>
    <font>
      <sz val="10"/>
      <color rgb="FF000000"/>
      <name val="Times New Roman"/>
      <family val="1"/>
      <charset val="1"/>
    </font>
    <font>
      <sz val="11"/>
      <color theme="1"/>
      <name val="Bookman Old Style"/>
      <family val="1"/>
      <charset val="1"/>
    </font>
    <font>
      <b/>
      <sz val="18"/>
      <color theme="1"/>
      <name val="Bookman Old Style"/>
      <family val="1"/>
      <charset val="1"/>
    </font>
    <font>
      <b/>
      <i/>
      <sz val="11"/>
      <color theme="1"/>
      <name val="Bookman Old Style"/>
      <family val="1"/>
      <charset val="1"/>
    </font>
    <font>
      <i/>
      <sz val="11"/>
      <color theme="1"/>
      <name val="Bookman Old Style"/>
      <family val="1"/>
      <charset val="1"/>
    </font>
    <font>
      <sz val="11"/>
      <name val="Bookman Old Style"/>
      <family val="1"/>
      <charset val="1"/>
    </font>
    <font>
      <b/>
      <sz val="11"/>
      <color theme="1"/>
      <name val="Bookman Old Style"/>
      <family val="1"/>
      <charset val="1"/>
    </font>
    <font>
      <sz val="11"/>
      <color rgb="FF000000"/>
      <name val="Bookman Old Style"/>
      <family val="1"/>
      <charset val="1"/>
    </font>
    <font>
      <sz val="10"/>
      <color rgb="FF000000"/>
      <name val="Bookman Old Style"/>
      <family val="1"/>
      <charset val="1"/>
    </font>
    <font>
      <sz val="10"/>
      <name val="Bookman Old Style"/>
      <family val="1"/>
      <charset val="1"/>
    </font>
    <font>
      <sz val="10"/>
      <color theme="1"/>
      <name val="Bookman Old Style"/>
      <family val="1"/>
      <charset val="1"/>
    </font>
    <font>
      <sz val="12"/>
      <color theme="1"/>
      <name val="Bookman Old Style"/>
      <family val="1"/>
      <charset val="1"/>
    </font>
    <font>
      <b/>
      <u/>
      <sz val="12"/>
      <color theme="1"/>
      <name val="Bookman Old Style"/>
      <family val="1"/>
      <charset val="1"/>
    </font>
    <font>
      <sz val="11"/>
      <color theme="1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  <fill>
      <patternFill patternType="solid">
        <fgColor rgb="FFFFC000"/>
        <bgColor rgb="FFFF9900"/>
      </patternFill>
    </fill>
  </fills>
  <borders count="19">
    <border>
      <left/>
      <right/>
      <top/>
      <bottom/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double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</borders>
  <cellStyleXfs count="4">
    <xf numFmtId="0" fontId="0" fillId="0" borderId="0"/>
    <xf numFmtId="167" fontId="14" fillId="0" borderId="0"/>
    <xf numFmtId="0" fontId="1" fillId="0" borderId="0"/>
    <xf numFmtId="164" fontId="14" fillId="0" borderId="0"/>
  </cellStyleXfs>
  <cellXfs count="101">
    <xf numFmtId="0" fontId="0" fillId="0" borderId="0" xfId="0"/>
    <xf numFmtId="0" fontId="7" fillId="0" borderId="16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0" xfId="0" applyFont="1"/>
    <xf numFmtId="0" fontId="2" fillId="0" borderId="4" xfId="0" applyFont="1" applyBorder="1" applyAlignment="1">
      <alignment horizontal="center" vertical="center"/>
    </xf>
    <xf numFmtId="0" fontId="2" fillId="2" borderId="5" xfId="0" applyFont="1" applyFill="1" applyBorder="1" applyAlignment="1">
      <alignment horizontal="left" vertical="center"/>
    </xf>
    <xf numFmtId="0" fontId="2" fillId="0" borderId="5" xfId="0" applyFont="1" applyBorder="1" applyAlignment="1">
      <alignment horizontal="center"/>
    </xf>
    <xf numFmtId="0" fontId="2" fillId="0" borderId="8" xfId="0" applyFont="1" applyBorder="1" applyAlignment="1">
      <alignment horizontal="left" vertical="center"/>
    </xf>
    <xf numFmtId="0" fontId="6" fillId="2" borderId="6" xfId="0" applyFont="1" applyFill="1" applyBorder="1" applyAlignment="1">
      <alignment horizontal="center"/>
    </xf>
    <xf numFmtId="165" fontId="2" fillId="0" borderId="6" xfId="3" applyNumberFormat="1" applyFont="1" applyBorder="1" applyAlignment="1">
      <alignment horizontal="center" vertical="center"/>
    </xf>
    <xf numFmtId="165" fontId="2" fillId="0" borderId="6" xfId="3" applyNumberFormat="1" applyFont="1" applyBorder="1" applyAlignment="1">
      <alignment horizontal="center" vertical="center" wrapText="1"/>
    </xf>
    <xf numFmtId="166" fontId="2" fillId="0" borderId="6" xfId="3" applyNumberFormat="1" applyFont="1" applyBorder="1" applyAlignment="1">
      <alignment horizontal="center" vertical="center"/>
    </xf>
    <xf numFmtId="49" fontId="2" fillId="0" borderId="7" xfId="0" applyNumberFormat="1" applyFont="1" applyBorder="1" applyAlignment="1">
      <alignment vertical="center"/>
    </xf>
    <xf numFmtId="0" fontId="2" fillId="0" borderId="9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166" fontId="2" fillId="2" borderId="6" xfId="3" applyNumberFormat="1" applyFont="1" applyFill="1" applyBorder="1" applyAlignment="1">
      <alignment horizontal="center" vertical="center"/>
    </xf>
    <xf numFmtId="165" fontId="2" fillId="2" borderId="6" xfId="3" applyNumberFormat="1" applyFont="1" applyFill="1" applyBorder="1" applyAlignment="1">
      <alignment horizontal="center" vertical="center"/>
    </xf>
    <xf numFmtId="165" fontId="2" fillId="0" borderId="0" xfId="0" applyNumberFormat="1" applyFont="1"/>
    <xf numFmtId="0" fontId="7" fillId="0" borderId="6" xfId="0" applyFont="1" applyBorder="1" applyAlignment="1">
      <alignment horizontal="center" vertical="center"/>
    </xf>
    <xf numFmtId="165" fontId="7" fillId="0" borderId="6" xfId="3" applyNumberFormat="1" applyFont="1" applyBorder="1" applyAlignment="1">
      <alignment horizontal="center" vertical="center"/>
    </xf>
    <xf numFmtId="165" fontId="7" fillId="3" borderId="6" xfId="3" applyNumberFormat="1" applyFont="1" applyFill="1" applyBorder="1" applyAlignment="1">
      <alignment horizontal="center" vertical="center"/>
    </xf>
    <xf numFmtId="166" fontId="7" fillId="0" borderId="6" xfId="3" applyNumberFormat="1" applyFont="1" applyBorder="1" applyAlignment="1">
      <alignment horizontal="center" vertical="center"/>
    </xf>
    <xf numFmtId="49" fontId="2" fillId="0" borderId="7" xfId="0" applyNumberFormat="1" applyFont="1" applyBorder="1"/>
    <xf numFmtId="167" fontId="2" fillId="0" borderId="0" xfId="1" applyFont="1"/>
    <xf numFmtId="167" fontId="2" fillId="0" borderId="0" xfId="0" applyNumberFormat="1" applyFont="1"/>
    <xf numFmtId="0" fontId="2" fillId="0" borderId="9" xfId="0" applyFont="1" applyBorder="1" applyAlignment="1">
      <alignment horizontal="center"/>
    </xf>
    <xf numFmtId="0" fontId="2" fillId="2" borderId="6" xfId="0" applyFont="1" applyFill="1" applyBorder="1"/>
    <xf numFmtId="0" fontId="8" fillId="0" borderId="8" xfId="2" applyFont="1" applyBorder="1" applyAlignment="1">
      <alignment horizontal="left" vertical="center"/>
    </xf>
    <xf numFmtId="165" fontId="2" fillId="0" borderId="6" xfId="3" applyNumberFormat="1" applyFont="1" applyBorder="1"/>
    <xf numFmtId="166" fontId="2" fillId="0" borderId="10" xfId="3" applyNumberFormat="1" applyFont="1" applyBorder="1" applyAlignment="1">
      <alignment horizontal="center" vertical="center"/>
    </xf>
    <xf numFmtId="166" fontId="8" fillId="0" borderId="6" xfId="3" applyNumberFormat="1" applyFont="1" applyBorder="1" applyAlignment="1">
      <alignment horizontal="center" vertical="center"/>
    </xf>
    <xf numFmtId="0" fontId="2" fillId="0" borderId="11" xfId="0" applyFont="1" applyBorder="1"/>
    <xf numFmtId="0" fontId="2" fillId="0" borderId="6" xfId="0" applyFont="1" applyBorder="1"/>
    <xf numFmtId="165" fontId="8" fillId="0" borderId="6" xfId="3" applyNumberFormat="1" applyFont="1" applyBorder="1" applyAlignment="1">
      <alignment horizontal="center" vertical="center"/>
    </xf>
    <xf numFmtId="0" fontId="2" fillId="0" borderId="8" xfId="2" applyFont="1" applyBorder="1" applyAlignment="1">
      <alignment horizontal="left" vertical="center"/>
    </xf>
    <xf numFmtId="168" fontId="2" fillId="0" borderId="11" xfId="0" applyNumberFormat="1" applyFont="1" applyBorder="1"/>
    <xf numFmtId="0" fontId="8" fillId="0" borderId="12" xfId="0" applyFont="1" applyBorder="1" applyAlignment="1">
      <alignment horizontal="left" vertical="center"/>
    </xf>
    <xf numFmtId="165" fontId="8" fillId="0" borderId="6" xfId="3" applyNumberFormat="1" applyFont="1" applyBorder="1" applyAlignment="1">
      <alignment horizontal="center" vertical="center" wrapText="1"/>
    </xf>
    <xf numFmtId="166" fontId="9" fillId="0" borderId="6" xfId="0" applyNumberFormat="1" applyFont="1" applyBorder="1" applyAlignment="1">
      <alignment horizontal="center" vertical="center"/>
    </xf>
    <xf numFmtId="0" fontId="2" fillId="0" borderId="7" xfId="0" applyFont="1" applyBorder="1"/>
    <xf numFmtId="0" fontId="8" fillId="0" borderId="8" xfId="0" applyFont="1" applyBorder="1" applyAlignment="1">
      <alignment horizontal="left" vertical="center"/>
    </xf>
    <xf numFmtId="0" fontId="8" fillId="2" borderId="8" xfId="0" applyFont="1" applyFill="1" applyBorder="1" applyAlignment="1">
      <alignment horizontal="left" vertical="center"/>
    </xf>
    <xf numFmtId="165" fontId="8" fillId="0" borderId="8" xfId="3" applyNumberFormat="1" applyFont="1" applyBorder="1" applyAlignment="1">
      <alignment horizontal="center" vertical="center"/>
    </xf>
    <xf numFmtId="165" fontId="8" fillId="2" borderId="8" xfId="3" applyNumberFormat="1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left" vertical="center"/>
    </xf>
    <xf numFmtId="165" fontId="2" fillId="0" borderId="10" xfId="3" applyNumberFormat="1" applyFont="1" applyBorder="1" applyAlignment="1">
      <alignment horizontal="center" vertical="center"/>
    </xf>
    <xf numFmtId="165" fontId="2" fillId="0" borderId="10" xfId="3" applyNumberFormat="1" applyFont="1" applyBorder="1" applyAlignment="1">
      <alignment horizontal="center" vertical="center" wrapText="1"/>
    </xf>
    <xf numFmtId="0" fontId="2" fillId="2" borderId="8" xfId="0" applyFont="1" applyFill="1" applyBorder="1" applyAlignment="1">
      <alignment horizontal="left" vertical="center"/>
    </xf>
    <xf numFmtId="165" fontId="2" fillId="0" borderId="6" xfId="3" applyNumberFormat="1" applyFont="1" applyBorder="1" applyAlignment="1">
      <alignment vertical="center"/>
    </xf>
    <xf numFmtId="0" fontId="2" fillId="0" borderId="13" xfId="0" applyFont="1" applyBorder="1" applyAlignment="1">
      <alignment horizontal="center"/>
    </xf>
    <xf numFmtId="0" fontId="10" fillId="0" borderId="8" xfId="0" applyFont="1" applyBorder="1" applyAlignment="1">
      <alignment horizontal="left" vertical="center"/>
    </xf>
    <xf numFmtId="165" fontId="10" fillId="0" borderId="6" xfId="3" applyNumberFormat="1" applyFont="1" applyBorder="1" applyAlignment="1">
      <alignment horizontal="center" vertical="center"/>
    </xf>
    <xf numFmtId="165" fontId="10" fillId="0" borderId="0" xfId="3" applyNumberFormat="1" applyFont="1" applyAlignment="1">
      <alignment horizontal="center" vertical="center" wrapText="1"/>
    </xf>
    <xf numFmtId="165" fontId="2" fillId="0" borderId="6" xfId="0" applyNumberFormat="1" applyFont="1" applyBorder="1" applyAlignment="1">
      <alignment horizontal="center" vertical="center"/>
    </xf>
    <xf numFmtId="166" fontId="2" fillId="0" borderId="6" xfId="0" applyNumberFormat="1" applyFont="1" applyBorder="1" applyAlignment="1">
      <alignment horizontal="center" vertical="center"/>
    </xf>
    <xf numFmtId="166" fontId="10" fillId="0" borderId="6" xfId="3" applyNumberFormat="1" applyFont="1" applyBorder="1" applyAlignment="1">
      <alignment horizontal="center" vertical="center"/>
    </xf>
    <xf numFmtId="0" fontId="2" fillId="0" borderId="14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6" fillId="0" borderId="8" xfId="0" applyFont="1" applyBorder="1" applyAlignment="1">
      <alignment horizontal="left" vertical="center"/>
    </xf>
    <xf numFmtId="165" fontId="2" fillId="0" borderId="8" xfId="3" applyNumberFormat="1" applyFont="1" applyBorder="1" applyAlignment="1">
      <alignment horizontal="center" vertical="center"/>
    </xf>
    <xf numFmtId="0" fontId="2" fillId="2" borderId="5" xfId="0" applyFont="1" applyFill="1" applyBorder="1" applyAlignment="1">
      <alignment horizontal="center"/>
    </xf>
    <xf numFmtId="165" fontId="2" fillId="2" borderId="8" xfId="3" applyNumberFormat="1" applyFont="1" applyFill="1" applyBorder="1" applyAlignment="1">
      <alignment horizontal="center" vertical="center"/>
    </xf>
    <xf numFmtId="165" fontId="2" fillId="2" borderId="6" xfId="3" applyNumberFormat="1" applyFont="1" applyFill="1" applyBorder="1"/>
    <xf numFmtId="166" fontId="2" fillId="2" borderId="6" xfId="0" applyNumberFormat="1" applyFont="1" applyFill="1" applyBorder="1" applyAlignment="1">
      <alignment horizontal="center" vertical="center"/>
    </xf>
    <xf numFmtId="166" fontId="11" fillId="0" borderId="6" xfId="3" applyNumberFormat="1" applyFont="1" applyBorder="1" applyAlignment="1">
      <alignment horizontal="center" vertical="center"/>
    </xf>
    <xf numFmtId="168" fontId="2" fillId="0" borderId="7" xfId="0" applyNumberFormat="1" applyFont="1" applyBorder="1"/>
    <xf numFmtId="169" fontId="2" fillId="0" borderId="0" xfId="1" applyNumberFormat="1" applyFont="1"/>
    <xf numFmtId="0" fontId="2" fillId="2" borderId="6" xfId="0" applyFont="1" applyFill="1" applyBorder="1" applyAlignment="1">
      <alignment vertical="center"/>
    </xf>
    <xf numFmtId="165" fontId="11" fillId="0" borderId="6" xfId="3" applyNumberFormat="1" applyFont="1" applyBorder="1" applyAlignment="1">
      <alignment horizontal="center" vertical="center"/>
    </xf>
    <xf numFmtId="165" fontId="11" fillId="0" borderId="6" xfId="3" applyNumberFormat="1" applyFont="1" applyBorder="1" applyAlignment="1">
      <alignment horizontal="center" vertical="center" wrapText="1"/>
    </xf>
    <xf numFmtId="0" fontId="2" fillId="0" borderId="7" xfId="0" applyFont="1" applyBorder="1" applyAlignment="1">
      <alignment vertical="center"/>
    </xf>
    <xf numFmtId="170" fontId="2" fillId="0" borderId="0" xfId="1" applyNumberFormat="1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6" xfId="0" applyFont="1" applyBorder="1" applyAlignment="1">
      <alignment vertical="center"/>
    </xf>
    <xf numFmtId="170" fontId="2" fillId="0" borderId="0" xfId="0" applyNumberFormat="1" applyFont="1" applyAlignment="1">
      <alignment vertical="center"/>
    </xf>
    <xf numFmtId="166" fontId="14" fillId="0" borderId="6" xfId="3" applyNumberFormat="1" applyBorder="1" applyAlignment="1">
      <alignment horizontal="center" vertical="center"/>
    </xf>
    <xf numFmtId="166" fontId="2" fillId="0" borderId="7" xfId="3" applyNumberFormat="1" applyFont="1" applyBorder="1"/>
    <xf numFmtId="0" fontId="7" fillId="0" borderId="17" xfId="0" applyFont="1" applyBorder="1" applyAlignment="1">
      <alignment horizontal="center" vertical="center"/>
    </xf>
    <xf numFmtId="165" fontId="7" fillId="0" borderId="17" xfId="3" applyNumberFormat="1" applyFont="1" applyBorder="1" applyAlignment="1">
      <alignment horizontal="center" vertical="center"/>
    </xf>
    <xf numFmtId="166" fontId="7" fillId="0" borderId="17" xfId="3" applyNumberFormat="1" applyFont="1" applyBorder="1" applyAlignment="1">
      <alignment horizontal="center" vertical="center"/>
    </xf>
    <xf numFmtId="49" fontId="2" fillId="0" borderId="18" xfId="0" applyNumberFormat="1" applyFont="1" applyBorder="1"/>
    <xf numFmtId="168" fontId="2" fillId="0" borderId="0" xfId="0" applyNumberFormat="1" applyFont="1"/>
    <xf numFmtId="0" fontId="5" fillId="0" borderId="0" xfId="0" applyFont="1" applyAlignment="1">
      <alignment horizontal="center"/>
    </xf>
    <xf numFmtId="0" fontId="5" fillId="0" borderId="0" xfId="0" applyFont="1"/>
    <xf numFmtId="0" fontId="12" fillId="0" borderId="0" xfId="0" applyFont="1" applyAlignment="1">
      <alignment horizontal="center"/>
    </xf>
    <xf numFmtId="0" fontId="13" fillId="0" borderId="0" xfId="0" applyFont="1" applyAlignment="1">
      <alignment horizontal="center"/>
    </xf>
  </cellXfs>
  <cellStyles count="4">
    <cellStyle name="Comma" xfId="1" builtinId="3"/>
    <cellStyle name="Excel Built-in Comma [0]" xfId="3" xr:uid="{00000000-0005-0000-0000-000007000000}"/>
    <cellStyle name="Normal" xfId="0" builtinId="0"/>
    <cellStyle name="Normal 4" xfId="2" xr:uid="{00000000-0005-0000-0000-000006000000}"/>
  </cellStyles>
  <dxfs count="5"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47"/>
  <sheetViews>
    <sheetView tabSelected="1" view="pageBreakPreview" zoomScale="80" zoomScaleNormal="80" zoomScalePageLayoutView="80" workbookViewId="0">
      <pane ySplit="5" topLeftCell="A226" activePane="bottomLeft" state="frozen"/>
      <selection pane="bottomLeft" activeCell="E242" sqref="E242"/>
    </sheetView>
  </sheetViews>
  <sheetFormatPr defaultColWidth="9.140625" defaultRowHeight="15" x14ac:dyDescent="0.25"/>
  <cols>
    <col min="1" max="1" width="6" style="6" customWidth="1"/>
    <col min="2" max="2" width="24.85546875" style="7" customWidth="1"/>
    <col min="3" max="3" width="7.140625" style="7" customWidth="1"/>
    <col min="4" max="4" width="33.28515625" style="7" customWidth="1"/>
    <col min="5" max="5" width="21.5703125" style="7" customWidth="1"/>
    <col min="6" max="6" width="12.7109375" style="7" customWidth="1"/>
    <col min="7" max="7" width="15" style="7" customWidth="1"/>
    <col min="8" max="8" width="12.7109375" style="7" customWidth="1"/>
    <col min="9" max="9" width="12.7109375" style="7" hidden="1" customWidth="1"/>
    <col min="10" max="10" width="15.5703125" style="7" customWidth="1"/>
    <col min="11" max="11" width="20.7109375" style="7" customWidth="1"/>
    <col min="12" max="12" width="14.28515625" style="6" customWidth="1"/>
    <col min="13" max="13" width="14.28515625" style="7" customWidth="1"/>
    <col min="14" max="14" width="14.5703125" style="7" customWidth="1"/>
    <col min="15" max="15" width="12" style="7" customWidth="1"/>
    <col min="16" max="16384" width="9.140625" style="7"/>
  </cols>
  <sheetData>
    <row r="1" spans="1:15" x14ac:dyDescent="0.25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</row>
    <row r="2" spans="1:15" x14ac:dyDescent="0.25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 spans="1:15" ht="15.75" customHeight="1" x14ac:dyDescent="0.25">
      <c r="G3" s="6"/>
    </row>
    <row r="4" spans="1:15" ht="45" customHeight="1" x14ac:dyDescent="0.25">
      <c r="A4" s="8" t="s">
        <v>1</v>
      </c>
      <c r="B4" s="9" t="s">
        <v>2</v>
      </c>
      <c r="C4" s="4" t="s">
        <v>3</v>
      </c>
      <c r="D4" s="4"/>
      <c r="E4" s="10" t="s">
        <v>4</v>
      </c>
      <c r="F4" s="10" t="s">
        <v>5</v>
      </c>
      <c r="G4" s="10" t="s">
        <v>6</v>
      </c>
      <c r="H4" s="10" t="s">
        <v>7</v>
      </c>
      <c r="I4" s="10" t="s">
        <v>8</v>
      </c>
      <c r="J4" s="10" t="s">
        <v>9</v>
      </c>
      <c r="K4" s="10" t="s">
        <v>10</v>
      </c>
      <c r="L4" s="10" t="s">
        <v>11</v>
      </c>
      <c r="M4" s="11" t="s">
        <v>12</v>
      </c>
    </row>
    <row r="5" spans="1:15" s="17" customFormat="1" ht="15.75" customHeight="1" x14ac:dyDescent="0.2">
      <c r="A5" s="12">
        <v>1</v>
      </c>
      <c r="B5" s="13">
        <v>2</v>
      </c>
      <c r="C5" s="3">
        <v>3</v>
      </c>
      <c r="D5" s="3"/>
      <c r="E5" s="14">
        <v>4</v>
      </c>
      <c r="F5" s="14">
        <v>5</v>
      </c>
      <c r="G5" s="14">
        <v>6</v>
      </c>
      <c r="H5" s="14">
        <v>7</v>
      </c>
      <c r="I5" s="14"/>
      <c r="J5" s="15">
        <v>8</v>
      </c>
      <c r="K5" s="14">
        <v>9</v>
      </c>
      <c r="L5" s="14">
        <v>10</v>
      </c>
      <c r="M5" s="16">
        <v>11</v>
      </c>
    </row>
    <row r="6" spans="1:15" ht="17.25" customHeight="1" x14ac:dyDescent="0.25">
      <c r="A6" s="18" t="s">
        <v>13</v>
      </c>
      <c r="B6" s="19" t="s">
        <v>14</v>
      </c>
      <c r="C6" s="20">
        <v>1</v>
      </c>
      <c r="D6" s="21" t="s">
        <v>15</v>
      </c>
      <c r="E6" s="22" t="s">
        <v>16</v>
      </c>
      <c r="F6" s="23">
        <v>13.05</v>
      </c>
      <c r="G6" s="23">
        <v>96.82</v>
      </c>
      <c r="H6" s="23">
        <v>8.77</v>
      </c>
      <c r="I6" s="24"/>
      <c r="J6" s="23">
        <f t="shared" ref="J6:J25" si="0">SUM(F6:H6)</f>
        <v>118.63999999999999</v>
      </c>
      <c r="K6" s="25">
        <v>69913</v>
      </c>
      <c r="L6" s="25">
        <v>117</v>
      </c>
      <c r="M6" s="26"/>
    </row>
    <row r="7" spans="1:15" ht="17.25" customHeight="1" x14ac:dyDescent="0.25">
      <c r="A7" s="27"/>
      <c r="B7" s="28"/>
      <c r="C7" s="20">
        <v>2</v>
      </c>
      <c r="D7" s="21" t="s">
        <v>17</v>
      </c>
      <c r="E7" s="22" t="s">
        <v>16</v>
      </c>
      <c r="F7" s="23">
        <v>4.9800000000000004</v>
      </c>
      <c r="G7" s="23">
        <v>20.69</v>
      </c>
      <c r="H7" s="23">
        <v>6.99</v>
      </c>
      <c r="I7" s="24"/>
      <c r="J7" s="23">
        <f t="shared" si="0"/>
        <v>32.660000000000004</v>
      </c>
      <c r="K7" s="25">
        <v>16044</v>
      </c>
      <c r="L7" s="25">
        <v>63</v>
      </c>
      <c r="M7" s="26"/>
    </row>
    <row r="8" spans="1:15" ht="17.25" customHeight="1" x14ac:dyDescent="0.25">
      <c r="A8" s="18"/>
      <c r="B8" s="28"/>
      <c r="C8" s="20">
        <v>3</v>
      </c>
      <c r="D8" s="21" t="s">
        <v>18</v>
      </c>
      <c r="E8" s="22" t="s">
        <v>16</v>
      </c>
      <c r="F8" s="23">
        <v>10.71</v>
      </c>
      <c r="G8" s="23">
        <v>164.17</v>
      </c>
      <c r="H8" s="23">
        <v>14.94</v>
      </c>
      <c r="I8" s="24"/>
      <c r="J8" s="23">
        <f t="shared" si="0"/>
        <v>189.82</v>
      </c>
      <c r="K8" s="25">
        <v>1754</v>
      </c>
      <c r="L8" s="25">
        <v>152</v>
      </c>
      <c r="M8" s="26"/>
    </row>
    <row r="9" spans="1:15" ht="17.25" customHeight="1" x14ac:dyDescent="0.25">
      <c r="A9" s="27"/>
      <c r="B9" s="28"/>
      <c r="C9" s="20">
        <v>4</v>
      </c>
      <c r="D9" s="21" t="s">
        <v>19</v>
      </c>
      <c r="E9" s="22" t="s">
        <v>16</v>
      </c>
      <c r="F9" s="23">
        <v>95.75</v>
      </c>
      <c r="G9" s="23">
        <v>266.06</v>
      </c>
      <c r="H9" s="23">
        <v>35.47</v>
      </c>
      <c r="I9" s="24"/>
      <c r="J9" s="23">
        <f t="shared" si="0"/>
        <v>397.28</v>
      </c>
      <c r="K9" s="25">
        <v>202682</v>
      </c>
      <c r="L9" s="25">
        <v>118</v>
      </c>
      <c r="M9" s="26"/>
    </row>
    <row r="10" spans="1:15" ht="17.25" customHeight="1" x14ac:dyDescent="0.25">
      <c r="A10" s="18"/>
      <c r="B10" s="28"/>
      <c r="C10" s="20">
        <v>5</v>
      </c>
      <c r="D10" s="21" t="s">
        <v>20</v>
      </c>
      <c r="E10" s="22" t="s">
        <v>16</v>
      </c>
      <c r="F10" s="23">
        <v>11.29</v>
      </c>
      <c r="G10" s="23">
        <v>41.3</v>
      </c>
      <c r="H10" s="23">
        <v>33.4</v>
      </c>
      <c r="I10" s="24"/>
      <c r="J10" s="23">
        <f t="shared" si="0"/>
        <v>85.99</v>
      </c>
      <c r="K10" s="25">
        <v>448</v>
      </c>
      <c r="L10" s="25">
        <v>68</v>
      </c>
      <c r="M10" s="26"/>
    </row>
    <row r="11" spans="1:15" ht="17.25" customHeight="1" x14ac:dyDescent="0.25">
      <c r="A11" s="27"/>
      <c r="B11" s="28"/>
      <c r="C11" s="20">
        <v>6</v>
      </c>
      <c r="D11" s="21" t="s">
        <v>21</v>
      </c>
      <c r="E11" s="22" t="s">
        <v>16</v>
      </c>
      <c r="F11" s="23">
        <v>11.08</v>
      </c>
      <c r="G11" s="23">
        <v>63.1</v>
      </c>
      <c r="H11" s="23">
        <v>36.21</v>
      </c>
      <c r="I11" s="24"/>
      <c r="J11" s="23">
        <f t="shared" si="0"/>
        <v>110.39000000000001</v>
      </c>
      <c r="K11" s="25">
        <v>667</v>
      </c>
      <c r="L11" s="25">
        <v>128</v>
      </c>
      <c r="M11" s="26"/>
      <c r="O11" s="7">
        <v>750</v>
      </c>
    </row>
    <row r="12" spans="1:15" ht="17.25" customHeight="1" x14ac:dyDescent="0.25">
      <c r="A12" s="18"/>
      <c r="B12" s="28"/>
      <c r="C12" s="20">
        <v>7</v>
      </c>
      <c r="D12" s="21" t="s">
        <v>22</v>
      </c>
      <c r="E12" s="29" t="s">
        <v>16</v>
      </c>
      <c r="F12" s="23">
        <v>6.2</v>
      </c>
      <c r="G12" s="23">
        <v>135.79</v>
      </c>
      <c r="H12" s="23">
        <v>7.91</v>
      </c>
      <c r="I12" s="24"/>
      <c r="J12" s="23">
        <f t="shared" si="0"/>
        <v>149.89999999999998</v>
      </c>
      <c r="K12" s="25">
        <v>1501</v>
      </c>
      <c r="L12" s="25">
        <v>160</v>
      </c>
      <c r="M12" s="26"/>
    </row>
    <row r="13" spans="1:15" ht="17.25" customHeight="1" x14ac:dyDescent="0.25">
      <c r="A13" s="27"/>
      <c r="B13" s="28"/>
      <c r="C13" s="20">
        <v>8</v>
      </c>
      <c r="D13" s="21" t="s">
        <v>23</v>
      </c>
      <c r="E13" s="29" t="s">
        <v>16</v>
      </c>
      <c r="F13" s="23">
        <v>10.33</v>
      </c>
      <c r="G13" s="23">
        <v>74.8</v>
      </c>
      <c r="H13" s="23">
        <v>4.88</v>
      </c>
      <c r="I13" s="24"/>
      <c r="J13" s="23">
        <f t="shared" si="0"/>
        <v>90.009999999999991</v>
      </c>
      <c r="K13" s="25">
        <v>48255</v>
      </c>
      <c r="L13" s="25">
        <v>532</v>
      </c>
      <c r="M13" s="26"/>
    </row>
    <row r="14" spans="1:15" ht="17.25" customHeight="1" x14ac:dyDescent="0.25">
      <c r="A14" s="18"/>
      <c r="B14" s="28"/>
      <c r="C14" s="20">
        <v>9</v>
      </c>
      <c r="D14" s="21" t="s">
        <v>24</v>
      </c>
      <c r="E14" s="29" t="s">
        <v>16</v>
      </c>
      <c r="F14" s="23">
        <v>1.02</v>
      </c>
      <c r="G14" s="23">
        <v>83.96</v>
      </c>
      <c r="H14" s="23">
        <v>3.04</v>
      </c>
      <c r="I14" s="24"/>
      <c r="J14" s="23">
        <f t="shared" si="0"/>
        <v>88.02</v>
      </c>
      <c r="K14" s="25">
        <v>62652</v>
      </c>
      <c r="L14" s="25">
        <v>196</v>
      </c>
      <c r="M14" s="26"/>
    </row>
    <row r="15" spans="1:15" ht="17.25" customHeight="1" x14ac:dyDescent="0.25">
      <c r="A15" s="27"/>
      <c r="B15" s="28"/>
      <c r="C15" s="20">
        <v>10</v>
      </c>
      <c r="D15" s="21" t="s">
        <v>25</v>
      </c>
      <c r="E15" s="29" t="s">
        <v>16</v>
      </c>
      <c r="F15" s="23">
        <v>64.069999999999993</v>
      </c>
      <c r="G15" s="23">
        <v>333.04</v>
      </c>
      <c r="H15" s="23">
        <v>11.87</v>
      </c>
      <c r="I15" s="24"/>
      <c r="J15" s="23">
        <f t="shared" si="0"/>
        <v>408.98</v>
      </c>
      <c r="K15" s="25">
        <v>249966</v>
      </c>
      <c r="L15" s="25">
        <v>281</v>
      </c>
      <c r="M15" s="26"/>
    </row>
    <row r="16" spans="1:15" ht="17.25" customHeight="1" x14ac:dyDescent="0.25">
      <c r="A16" s="18"/>
      <c r="B16" s="28"/>
      <c r="C16" s="20">
        <v>11</v>
      </c>
      <c r="D16" s="21" t="s">
        <v>26</v>
      </c>
      <c r="E16" s="29" t="s">
        <v>16</v>
      </c>
      <c r="F16" s="23">
        <v>10.050000000000001</v>
      </c>
      <c r="G16" s="23">
        <v>26.28</v>
      </c>
      <c r="H16" s="23">
        <v>3.92</v>
      </c>
      <c r="I16" s="24"/>
      <c r="J16" s="23">
        <f t="shared" si="0"/>
        <v>40.25</v>
      </c>
      <c r="K16" s="25">
        <v>18233</v>
      </c>
      <c r="L16" s="25">
        <v>66</v>
      </c>
      <c r="M16" s="26"/>
    </row>
    <row r="17" spans="1:15" ht="17.25" customHeight="1" x14ac:dyDescent="0.25">
      <c r="A17" s="27"/>
      <c r="B17" s="28"/>
      <c r="C17" s="20">
        <v>12</v>
      </c>
      <c r="D17" s="21" t="s">
        <v>27</v>
      </c>
      <c r="E17" s="29" t="s">
        <v>16</v>
      </c>
      <c r="F17" s="23">
        <v>1.01</v>
      </c>
      <c r="G17" s="23">
        <v>48.41</v>
      </c>
      <c r="H17" s="23">
        <v>3.01</v>
      </c>
      <c r="I17" s="24"/>
      <c r="J17" s="23">
        <f t="shared" si="0"/>
        <v>52.429999999999993</v>
      </c>
      <c r="K17" s="25">
        <v>34968</v>
      </c>
      <c r="L17" s="25">
        <v>91</v>
      </c>
      <c r="M17" s="26"/>
    </row>
    <row r="18" spans="1:15" ht="17.25" customHeight="1" x14ac:dyDescent="0.25">
      <c r="A18" s="18"/>
      <c r="B18" s="28"/>
      <c r="C18" s="20">
        <v>13</v>
      </c>
      <c r="D18" s="21" t="s">
        <v>28</v>
      </c>
      <c r="E18" s="29" t="s">
        <v>16</v>
      </c>
      <c r="F18" s="23">
        <v>3.99</v>
      </c>
      <c r="G18" s="23">
        <v>289.89</v>
      </c>
      <c r="H18" s="23">
        <v>4.01</v>
      </c>
      <c r="I18" s="24"/>
      <c r="J18" s="23">
        <f t="shared" si="0"/>
        <v>297.89</v>
      </c>
      <c r="K18" s="25">
        <v>184245</v>
      </c>
      <c r="L18" s="25">
        <v>148</v>
      </c>
      <c r="M18" s="26"/>
    </row>
    <row r="19" spans="1:15" ht="17.25" customHeight="1" x14ac:dyDescent="0.25">
      <c r="A19" s="27"/>
      <c r="B19" s="28"/>
      <c r="C19" s="20">
        <v>14</v>
      </c>
      <c r="D19" s="21" t="s">
        <v>29</v>
      </c>
      <c r="E19" s="29" t="s">
        <v>16</v>
      </c>
      <c r="F19" s="23">
        <v>11.32</v>
      </c>
      <c r="G19" s="23">
        <v>49.75</v>
      </c>
      <c r="H19" s="23">
        <v>21.17</v>
      </c>
      <c r="I19" s="24"/>
      <c r="J19" s="23">
        <f t="shared" si="0"/>
        <v>82.240000000000009</v>
      </c>
      <c r="K19" s="25">
        <v>936</v>
      </c>
      <c r="L19" s="25">
        <v>451</v>
      </c>
      <c r="M19" s="26"/>
      <c r="O19" s="7">
        <v>750</v>
      </c>
    </row>
    <row r="20" spans="1:15" ht="17.25" customHeight="1" x14ac:dyDescent="0.25">
      <c r="A20" s="18"/>
      <c r="B20" s="28"/>
      <c r="C20" s="20">
        <v>15</v>
      </c>
      <c r="D20" s="21" t="s">
        <v>30</v>
      </c>
      <c r="E20" s="29" t="s">
        <v>16</v>
      </c>
      <c r="F20" s="23">
        <v>223.94</v>
      </c>
      <c r="G20" s="23">
        <v>708.65</v>
      </c>
      <c r="H20" s="23">
        <v>155.88999999999999</v>
      </c>
      <c r="I20" s="24"/>
      <c r="J20" s="23">
        <f t="shared" si="0"/>
        <v>1088.48</v>
      </c>
      <c r="K20" s="25">
        <v>13026</v>
      </c>
      <c r="L20" s="25">
        <v>353</v>
      </c>
      <c r="M20" s="26"/>
    </row>
    <row r="21" spans="1:15" ht="17.25" customHeight="1" x14ac:dyDescent="0.25">
      <c r="A21" s="27"/>
      <c r="B21" s="28"/>
      <c r="C21" s="20">
        <v>16</v>
      </c>
      <c r="D21" s="21" t="s">
        <v>31</v>
      </c>
      <c r="E21" s="29" t="s">
        <v>16</v>
      </c>
      <c r="F21" s="23">
        <v>4.96</v>
      </c>
      <c r="G21" s="23">
        <v>20.49</v>
      </c>
      <c r="H21" s="23">
        <v>4.88</v>
      </c>
      <c r="I21" s="24"/>
      <c r="J21" s="23">
        <f t="shared" si="0"/>
        <v>30.33</v>
      </c>
      <c r="K21" s="25">
        <v>13496</v>
      </c>
      <c r="L21" s="25">
        <v>87</v>
      </c>
      <c r="M21" s="26"/>
    </row>
    <row r="22" spans="1:15" ht="17.25" customHeight="1" x14ac:dyDescent="0.25">
      <c r="A22" s="18"/>
      <c r="B22" s="28"/>
      <c r="C22" s="20">
        <v>17</v>
      </c>
      <c r="D22" s="21" t="s">
        <v>32</v>
      </c>
      <c r="E22" s="29" t="s">
        <v>16</v>
      </c>
      <c r="F22" s="23">
        <v>30.72</v>
      </c>
      <c r="G22" s="23">
        <v>51.18</v>
      </c>
      <c r="H22" s="23">
        <v>0</v>
      </c>
      <c r="I22" s="24"/>
      <c r="J22" s="23">
        <f t="shared" si="0"/>
        <v>81.900000000000006</v>
      </c>
      <c r="K22" s="25">
        <v>29087</v>
      </c>
      <c r="L22" s="25">
        <v>71</v>
      </c>
      <c r="M22" s="26"/>
    </row>
    <row r="23" spans="1:15" ht="17.25" customHeight="1" x14ac:dyDescent="0.25">
      <c r="A23" s="27"/>
      <c r="B23" s="28"/>
      <c r="C23" s="20">
        <v>18</v>
      </c>
      <c r="D23" s="21" t="s">
        <v>33</v>
      </c>
      <c r="E23" s="29" t="s">
        <v>16</v>
      </c>
      <c r="F23" s="23">
        <v>1.99</v>
      </c>
      <c r="G23" s="23">
        <v>18</v>
      </c>
      <c r="H23" s="23">
        <v>3.43</v>
      </c>
      <c r="I23" s="24"/>
      <c r="J23" s="23">
        <f t="shared" si="0"/>
        <v>23.419999999999998</v>
      </c>
      <c r="K23" s="25">
        <v>13475</v>
      </c>
      <c r="L23" s="25">
        <v>60</v>
      </c>
      <c r="M23" s="26"/>
      <c r="O23" s="7">
        <v>650</v>
      </c>
    </row>
    <row r="24" spans="1:15" ht="17.25" customHeight="1" x14ac:dyDescent="0.25">
      <c r="A24" s="18"/>
      <c r="B24" s="28"/>
      <c r="C24" s="20">
        <v>19</v>
      </c>
      <c r="D24" s="21" t="s">
        <v>34</v>
      </c>
      <c r="E24" s="29" t="s">
        <v>16</v>
      </c>
      <c r="F24" s="23">
        <v>0.5</v>
      </c>
      <c r="G24" s="23">
        <v>36.479999999999997</v>
      </c>
      <c r="H24" s="23">
        <v>2.52</v>
      </c>
      <c r="I24" s="24"/>
      <c r="J24" s="23">
        <f t="shared" si="0"/>
        <v>39.5</v>
      </c>
      <c r="K24" s="25">
        <v>22611</v>
      </c>
      <c r="L24" s="25">
        <v>51</v>
      </c>
      <c r="M24" s="26"/>
    </row>
    <row r="25" spans="1:15" ht="17.25" customHeight="1" x14ac:dyDescent="0.25">
      <c r="A25" s="27"/>
      <c r="B25" s="28"/>
      <c r="C25" s="20">
        <v>20</v>
      </c>
      <c r="D25" s="21" t="s">
        <v>35</v>
      </c>
      <c r="E25" s="29" t="s">
        <v>16</v>
      </c>
      <c r="F25" s="23">
        <v>6.01</v>
      </c>
      <c r="G25" s="23">
        <v>88.61</v>
      </c>
      <c r="H25" s="23">
        <v>3.03</v>
      </c>
      <c r="I25" s="24"/>
      <c r="J25" s="23">
        <f t="shared" si="0"/>
        <v>97.65</v>
      </c>
      <c r="K25" s="25">
        <v>57933</v>
      </c>
      <c r="L25" s="25">
        <v>108</v>
      </c>
      <c r="M25" s="26"/>
    </row>
    <row r="26" spans="1:15" ht="17.25" customHeight="1" x14ac:dyDescent="0.25">
      <c r="A26" s="27"/>
      <c r="B26" s="28"/>
      <c r="C26" s="20">
        <v>21</v>
      </c>
      <c r="D26" s="21" t="s">
        <v>36</v>
      </c>
      <c r="E26" s="29" t="s">
        <v>16</v>
      </c>
      <c r="F26" s="23">
        <v>3.01</v>
      </c>
      <c r="G26" s="23">
        <v>15.8</v>
      </c>
      <c r="H26" s="23">
        <v>1.96</v>
      </c>
      <c r="I26" s="24"/>
      <c r="J26" s="23">
        <v>20</v>
      </c>
      <c r="K26" s="25">
        <v>408</v>
      </c>
      <c r="L26" s="25">
        <v>54</v>
      </c>
      <c r="M26" s="26"/>
      <c r="O26" s="7">
        <v>620</v>
      </c>
    </row>
    <row r="27" spans="1:15" ht="17.25" customHeight="1" x14ac:dyDescent="0.25">
      <c r="A27" s="27"/>
      <c r="B27" s="28"/>
      <c r="C27" s="20">
        <v>22</v>
      </c>
      <c r="D27" s="21" t="s">
        <v>37</v>
      </c>
      <c r="E27" s="29" t="s">
        <v>16</v>
      </c>
      <c r="F27" s="23"/>
      <c r="G27" s="23">
        <v>2.95</v>
      </c>
      <c r="H27" s="23"/>
      <c r="I27" s="24"/>
      <c r="J27" s="23">
        <f t="shared" ref="J27:J35" si="1">SUM(F27:H27)</f>
        <v>2.95</v>
      </c>
      <c r="K27" s="25">
        <v>1243</v>
      </c>
      <c r="L27" s="25">
        <v>8</v>
      </c>
      <c r="M27" s="26"/>
    </row>
    <row r="28" spans="1:15" ht="17.25" customHeight="1" x14ac:dyDescent="0.25">
      <c r="A28" s="27"/>
      <c r="B28" s="28"/>
      <c r="C28" s="20">
        <v>23</v>
      </c>
      <c r="D28" s="21" t="s">
        <v>38</v>
      </c>
      <c r="E28" s="29" t="s">
        <v>16</v>
      </c>
      <c r="F28" s="23">
        <v>9.9499999999999993</v>
      </c>
      <c r="G28" s="23">
        <v>19.04</v>
      </c>
      <c r="H28" s="23">
        <v>15.98</v>
      </c>
      <c r="I28" s="24"/>
      <c r="J28" s="23">
        <f t="shared" si="1"/>
        <v>44.97</v>
      </c>
      <c r="K28" s="25">
        <v>519</v>
      </c>
      <c r="L28" s="25">
        <v>41</v>
      </c>
      <c r="M28" s="26"/>
      <c r="O28" s="7">
        <v>625</v>
      </c>
    </row>
    <row r="29" spans="1:15" ht="17.25" customHeight="1" x14ac:dyDescent="0.25">
      <c r="A29" s="27"/>
      <c r="B29" s="28"/>
      <c r="C29" s="20">
        <v>24</v>
      </c>
      <c r="D29" s="21" t="s">
        <v>39</v>
      </c>
      <c r="E29" s="29" t="s">
        <v>16</v>
      </c>
      <c r="F29" s="23">
        <v>18.82</v>
      </c>
      <c r="G29" s="23">
        <v>38.69</v>
      </c>
      <c r="H29" s="23">
        <v>2.79</v>
      </c>
      <c r="I29" s="24"/>
      <c r="J29" s="23">
        <f t="shared" si="1"/>
        <v>60.3</v>
      </c>
      <c r="K29" s="25">
        <v>897</v>
      </c>
      <c r="L29" s="25">
        <v>109</v>
      </c>
      <c r="M29" s="26"/>
    </row>
    <row r="30" spans="1:15" ht="17.25" customHeight="1" x14ac:dyDescent="0.25">
      <c r="A30" s="27"/>
      <c r="B30" s="28"/>
      <c r="C30" s="20">
        <v>25</v>
      </c>
      <c r="D30" s="21" t="s">
        <v>40</v>
      </c>
      <c r="E30" s="29" t="s">
        <v>16</v>
      </c>
      <c r="F30" s="23">
        <v>1.01</v>
      </c>
      <c r="G30" s="23">
        <v>94.56</v>
      </c>
      <c r="H30" s="23">
        <v>0</v>
      </c>
      <c r="I30" s="24"/>
      <c r="J30" s="23">
        <f t="shared" si="1"/>
        <v>95.570000000000007</v>
      </c>
      <c r="K30" s="25">
        <v>59142</v>
      </c>
      <c r="L30" s="25">
        <v>110</v>
      </c>
      <c r="M30" s="26"/>
    </row>
    <row r="31" spans="1:15" ht="17.25" customHeight="1" x14ac:dyDescent="0.25">
      <c r="A31" s="27"/>
      <c r="B31" s="28"/>
      <c r="C31" s="20">
        <v>26</v>
      </c>
      <c r="D31" s="21" t="s">
        <v>41</v>
      </c>
      <c r="E31" s="29" t="s">
        <v>16</v>
      </c>
      <c r="F31" s="23">
        <v>0</v>
      </c>
      <c r="G31" s="23">
        <v>15.86</v>
      </c>
      <c r="H31" s="23">
        <v>0</v>
      </c>
      <c r="I31" s="24"/>
      <c r="J31" s="23">
        <f t="shared" si="1"/>
        <v>15.86</v>
      </c>
      <c r="K31" s="25">
        <v>8976</v>
      </c>
      <c r="L31" s="25">
        <v>183</v>
      </c>
      <c r="M31" s="26"/>
    </row>
    <row r="32" spans="1:15" ht="17.25" customHeight="1" x14ac:dyDescent="0.25">
      <c r="A32" s="27"/>
      <c r="B32" s="28"/>
      <c r="C32" s="20">
        <v>27</v>
      </c>
      <c r="D32" s="21" t="s">
        <v>42</v>
      </c>
      <c r="E32" s="29" t="s">
        <v>16</v>
      </c>
      <c r="F32" s="23">
        <v>0</v>
      </c>
      <c r="G32" s="23">
        <v>51.75</v>
      </c>
      <c r="H32" s="23">
        <v>42.38</v>
      </c>
      <c r="I32" s="24"/>
      <c r="J32" s="23">
        <f t="shared" si="1"/>
        <v>94.13</v>
      </c>
      <c r="K32" s="25">
        <v>32747</v>
      </c>
      <c r="L32" s="25">
        <v>182</v>
      </c>
      <c r="M32" s="26"/>
    </row>
    <row r="33" spans="1:15" ht="17.25" customHeight="1" x14ac:dyDescent="0.25">
      <c r="A33" s="27"/>
      <c r="B33" s="28"/>
      <c r="C33" s="20">
        <v>28</v>
      </c>
      <c r="D33" s="21" t="s">
        <v>43</v>
      </c>
      <c r="E33" s="29" t="s">
        <v>16</v>
      </c>
      <c r="F33" s="23">
        <v>8.98</v>
      </c>
      <c r="G33" s="23">
        <v>20.93</v>
      </c>
      <c r="H33" s="23">
        <v>6.97</v>
      </c>
      <c r="I33" s="24"/>
      <c r="J33" s="23">
        <f t="shared" si="1"/>
        <v>36.880000000000003</v>
      </c>
      <c r="K33" s="25">
        <v>12068</v>
      </c>
      <c r="L33" s="30">
        <v>19</v>
      </c>
      <c r="M33" s="26"/>
    </row>
    <row r="34" spans="1:15" ht="17.25" customHeight="1" x14ac:dyDescent="0.25">
      <c r="A34" s="27"/>
      <c r="B34" s="28"/>
      <c r="C34" s="20">
        <v>29</v>
      </c>
      <c r="D34" s="21" t="s">
        <v>44</v>
      </c>
      <c r="E34" s="29" t="s">
        <v>16</v>
      </c>
      <c r="F34" s="23">
        <v>0</v>
      </c>
      <c r="G34" s="23">
        <v>76.03</v>
      </c>
      <c r="H34" s="23">
        <v>122.03</v>
      </c>
      <c r="I34" s="24"/>
      <c r="J34" s="23">
        <f t="shared" si="1"/>
        <v>198.06</v>
      </c>
      <c r="K34" s="25">
        <v>47470</v>
      </c>
      <c r="L34" s="25">
        <v>390</v>
      </c>
      <c r="M34" s="26"/>
    </row>
    <row r="35" spans="1:15" ht="17.25" customHeight="1" x14ac:dyDescent="0.25">
      <c r="A35" s="27"/>
      <c r="B35" s="28"/>
      <c r="C35" s="20">
        <v>30</v>
      </c>
      <c r="D35" s="21" t="s">
        <v>45</v>
      </c>
      <c r="E35" s="29" t="s">
        <v>16</v>
      </c>
      <c r="F35" s="23">
        <v>20.350000000000001</v>
      </c>
      <c r="G35" s="31">
        <v>55.86</v>
      </c>
      <c r="H35" s="23">
        <v>25.33</v>
      </c>
      <c r="I35" s="24"/>
      <c r="J35" s="23">
        <f t="shared" si="1"/>
        <v>101.54</v>
      </c>
      <c r="K35" s="25">
        <v>33523</v>
      </c>
      <c r="L35" s="25">
        <v>148</v>
      </c>
      <c r="M35" s="26"/>
      <c r="N35" s="32">
        <v>4957</v>
      </c>
    </row>
    <row r="36" spans="1:15" ht="17.25" customHeight="1" x14ac:dyDescent="0.25">
      <c r="A36" s="2" t="s">
        <v>46</v>
      </c>
      <c r="B36" s="2"/>
      <c r="C36" s="2"/>
      <c r="D36" s="2"/>
      <c r="E36" s="33"/>
      <c r="F36" s="34">
        <f>SUM(F6:F35)</f>
        <v>585.09000000000015</v>
      </c>
      <c r="G36" s="34">
        <f>SUM(G6:G35)</f>
        <v>3008.94</v>
      </c>
      <c r="H36" s="34">
        <f>SUM(H6:H35)</f>
        <v>582.78</v>
      </c>
      <c r="I36" s="34"/>
      <c r="J36" s="35">
        <f>SUM(J6:J35)</f>
        <v>4176.0400000000009</v>
      </c>
      <c r="K36" s="36">
        <f>SUM(K6:K35)</f>
        <v>1238885</v>
      </c>
      <c r="L36" s="36">
        <f>SUM(L6:L35)</f>
        <v>4545</v>
      </c>
      <c r="M36" s="37"/>
      <c r="N36" s="38">
        <v>1110</v>
      </c>
      <c r="O36" s="39"/>
    </row>
    <row r="37" spans="1:15" ht="17.25" customHeight="1" x14ac:dyDescent="0.25">
      <c r="A37" s="40" t="s">
        <v>47</v>
      </c>
      <c r="B37" s="41" t="s">
        <v>48</v>
      </c>
      <c r="C37" s="20">
        <v>31</v>
      </c>
      <c r="D37" s="42" t="s">
        <v>49</v>
      </c>
      <c r="E37" s="29" t="s">
        <v>16</v>
      </c>
      <c r="F37" s="23">
        <v>34.74</v>
      </c>
      <c r="G37" s="23">
        <v>442.94</v>
      </c>
      <c r="H37" s="23">
        <v>26.94</v>
      </c>
      <c r="I37" s="43">
        <f t="shared" ref="I37:I63" si="2">SUM(F37:H37)</f>
        <v>504.62</v>
      </c>
      <c r="J37" s="23">
        <f t="shared" ref="J37:J63" si="3">SUM(F37:H37)</f>
        <v>504.62</v>
      </c>
      <c r="K37" s="44">
        <v>309118</v>
      </c>
      <c r="L37" s="45">
        <v>299</v>
      </c>
      <c r="M37" s="46"/>
      <c r="N37" s="7" t="str">
        <f t="shared" ref="N37:N63" si="4">LOWER(D37)</f>
        <v>buntul peteri</v>
      </c>
    </row>
    <row r="38" spans="1:15" ht="17.25" customHeight="1" x14ac:dyDescent="0.25">
      <c r="A38" s="40"/>
      <c r="B38" s="47"/>
      <c r="C38" s="20">
        <v>32</v>
      </c>
      <c r="D38" s="42" t="s">
        <v>50</v>
      </c>
      <c r="E38" s="29" t="s">
        <v>16</v>
      </c>
      <c r="F38" s="23">
        <v>9.9499999999999993</v>
      </c>
      <c r="G38" s="23">
        <v>192.79</v>
      </c>
      <c r="H38" s="23">
        <v>21.61</v>
      </c>
      <c r="I38" s="43">
        <f t="shared" si="2"/>
        <v>224.34999999999997</v>
      </c>
      <c r="J38" s="23">
        <f t="shared" si="3"/>
        <v>224.34999999999997</v>
      </c>
      <c r="K38" s="25">
        <v>132263</v>
      </c>
      <c r="L38" s="45">
        <v>135</v>
      </c>
      <c r="M38" s="46"/>
      <c r="N38" s="7" t="str">
        <f t="shared" si="4"/>
        <v>bale musara</v>
      </c>
    </row>
    <row r="39" spans="1:15" ht="17.25" customHeight="1" x14ac:dyDescent="0.25">
      <c r="A39" s="40"/>
      <c r="B39" s="47"/>
      <c r="C39" s="20">
        <v>33</v>
      </c>
      <c r="D39" s="42" t="s">
        <v>51</v>
      </c>
      <c r="E39" s="29" t="s">
        <v>16</v>
      </c>
      <c r="F39" s="48">
        <v>10.11</v>
      </c>
      <c r="G39" s="48">
        <v>300.73</v>
      </c>
      <c r="H39" s="48">
        <v>7.85</v>
      </c>
      <c r="I39" s="43">
        <f t="shared" si="2"/>
        <v>318.69000000000005</v>
      </c>
      <c r="J39" s="23">
        <f t="shared" si="3"/>
        <v>318.69000000000005</v>
      </c>
      <c r="K39" s="45">
        <v>209140</v>
      </c>
      <c r="L39" s="45">
        <v>224</v>
      </c>
      <c r="M39" s="46"/>
      <c r="N39" s="7" t="str">
        <f t="shared" si="4"/>
        <v>jungke</v>
      </c>
    </row>
    <row r="40" spans="1:15" ht="17.25" customHeight="1" x14ac:dyDescent="0.25">
      <c r="A40" s="40"/>
      <c r="B40" s="47"/>
      <c r="C40" s="20">
        <v>34</v>
      </c>
      <c r="D40" s="42" t="s">
        <v>52</v>
      </c>
      <c r="E40" s="29" t="s">
        <v>16</v>
      </c>
      <c r="F40" s="48">
        <v>19.84</v>
      </c>
      <c r="G40" s="48">
        <v>125.64</v>
      </c>
      <c r="H40" s="48">
        <v>13.33</v>
      </c>
      <c r="I40" s="43">
        <f t="shared" si="2"/>
        <v>158.81</v>
      </c>
      <c r="J40" s="23">
        <f t="shared" si="3"/>
        <v>158.81</v>
      </c>
      <c r="K40" s="45">
        <v>85352</v>
      </c>
      <c r="L40" s="45">
        <v>206</v>
      </c>
      <c r="M40" s="46"/>
      <c r="N40" s="7" t="str">
        <f t="shared" si="4"/>
        <v>kepies</v>
      </c>
    </row>
    <row r="41" spans="1:15" ht="17.25" customHeight="1" x14ac:dyDescent="0.25">
      <c r="A41" s="40"/>
      <c r="B41" s="47"/>
      <c r="C41" s="20">
        <v>35</v>
      </c>
      <c r="D41" s="42" t="s">
        <v>53</v>
      </c>
      <c r="E41" s="29" t="s">
        <v>16</v>
      </c>
      <c r="F41" s="48">
        <v>204.21</v>
      </c>
      <c r="G41" s="48">
        <v>790.85</v>
      </c>
      <c r="H41" s="48">
        <v>99.16</v>
      </c>
      <c r="I41" s="43">
        <f t="shared" si="2"/>
        <v>1094.22</v>
      </c>
      <c r="J41" s="23">
        <f t="shared" si="3"/>
        <v>1094.22</v>
      </c>
      <c r="K41" s="45">
        <v>548557</v>
      </c>
      <c r="L41" s="45">
        <v>1974</v>
      </c>
      <c r="M41" s="46"/>
      <c r="N41" s="7" t="str">
        <f t="shared" si="4"/>
        <v>seni antara</v>
      </c>
    </row>
    <row r="42" spans="1:15" ht="17.25" customHeight="1" x14ac:dyDescent="0.25">
      <c r="A42" s="40"/>
      <c r="B42" s="47"/>
      <c r="C42" s="20">
        <v>36</v>
      </c>
      <c r="D42" s="42" t="s">
        <v>54</v>
      </c>
      <c r="E42" s="29" t="s">
        <v>16</v>
      </c>
      <c r="F42" s="23">
        <v>51.12</v>
      </c>
      <c r="G42" s="23">
        <v>500.24</v>
      </c>
      <c r="H42" s="23">
        <v>243.82</v>
      </c>
      <c r="I42" s="43">
        <f t="shared" si="2"/>
        <v>795.18000000000006</v>
      </c>
      <c r="J42" s="23">
        <f t="shared" si="3"/>
        <v>795.18000000000006</v>
      </c>
      <c r="K42" s="45">
        <v>336648</v>
      </c>
      <c r="L42" s="25">
        <v>550</v>
      </c>
      <c r="M42" s="46"/>
      <c r="N42" s="7" t="str">
        <f t="shared" si="4"/>
        <v>pantan tengah jaya</v>
      </c>
    </row>
    <row r="43" spans="1:15" ht="17.25" customHeight="1" x14ac:dyDescent="0.25">
      <c r="A43" s="40"/>
      <c r="B43" s="47"/>
      <c r="C43" s="20">
        <v>37</v>
      </c>
      <c r="D43" s="42" t="s">
        <v>55</v>
      </c>
      <c r="E43" s="29" t="s">
        <v>16</v>
      </c>
      <c r="F43" s="23">
        <v>19.989999999999998</v>
      </c>
      <c r="G43" s="23">
        <v>160.97</v>
      </c>
      <c r="H43" s="23">
        <v>100.28</v>
      </c>
      <c r="I43" s="43">
        <f t="shared" si="2"/>
        <v>281.24</v>
      </c>
      <c r="J43" s="23">
        <f t="shared" si="3"/>
        <v>281.24</v>
      </c>
      <c r="K43" s="45">
        <v>110527</v>
      </c>
      <c r="L43" s="25">
        <v>63</v>
      </c>
      <c r="M43" s="46"/>
      <c r="N43" s="7" t="str">
        <f t="shared" si="4"/>
        <v>ayu ara</v>
      </c>
    </row>
    <row r="44" spans="1:15" ht="17.25" customHeight="1" x14ac:dyDescent="0.25">
      <c r="A44" s="40"/>
      <c r="B44" s="47"/>
      <c r="C44" s="20">
        <v>38</v>
      </c>
      <c r="D44" s="42" t="s">
        <v>56</v>
      </c>
      <c r="E44" s="29" t="s">
        <v>16</v>
      </c>
      <c r="F44" s="23">
        <v>74.37</v>
      </c>
      <c r="G44" s="23">
        <v>391.45</v>
      </c>
      <c r="H44" s="23">
        <v>72.599999999999994</v>
      </c>
      <c r="I44" s="43">
        <f t="shared" si="2"/>
        <v>538.41999999999996</v>
      </c>
      <c r="J44" s="23">
        <f t="shared" si="3"/>
        <v>538.41999999999996</v>
      </c>
      <c r="K44" s="45">
        <v>267141</v>
      </c>
      <c r="L44" s="25">
        <v>143</v>
      </c>
      <c r="M44" s="46"/>
      <c r="N44" s="7" t="str">
        <f t="shared" si="4"/>
        <v>rikit musara</v>
      </c>
    </row>
    <row r="45" spans="1:15" ht="17.25" customHeight="1" x14ac:dyDescent="0.25">
      <c r="A45" s="40"/>
      <c r="B45" s="47"/>
      <c r="C45" s="20">
        <v>39</v>
      </c>
      <c r="D45" s="49" t="s">
        <v>57</v>
      </c>
      <c r="E45" s="29" t="s">
        <v>16</v>
      </c>
      <c r="F45" s="23">
        <v>25.85</v>
      </c>
      <c r="G45" s="23">
        <v>274.39999999999998</v>
      </c>
      <c r="H45" s="23">
        <v>84.72</v>
      </c>
      <c r="I45" s="43">
        <f t="shared" si="2"/>
        <v>384.97</v>
      </c>
      <c r="J45" s="23">
        <f t="shared" si="3"/>
        <v>384.97</v>
      </c>
      <c r="K45" s="25">
        <v>186098</v>
      </c>
      <c r="L45" s="25">
        <v>240</v>
      </c>
      <c r="M45" s="46"/>
      <c r="N45" s="7" t="str">
        <f t="shared" si="4"/>
        <v>suku sara tangke</v>
      </c>
    </row>
    <row r="46" spans="1:15" ht="17.25" customHeight="1" x14ac:dyDescent="0.25">
      <c r="A46" s="40"/>
      <c r="B46" s="47"/>
      <c r="C46" s="20">
        <v>40</v>
      </c>
      <c r="D46" s="49" t="s">
        <v>58</v>
      </c>
      <c r="E46" s="29" t="s">
        <v>16</v>
      </c>
      <c r="F46" s="23">
        <v>0</v>
      </c>
      <c r="G46" s="23">
        <v>196.98</v>
      </c>
      <c r="H46" s="23">
        <v>9.7200000000000006</v>
      </c>
      <c r="I46" s="43">
        <f t="shared" si="2"/>
        <v>206.7</v>
      </c>
      <c r="J46" s="23">
        <f t="shared" si="3"/>
        <v>206.7</v>
      </c>
      <c r="K46" s="25">
        <v>135455</v>
      </c>
      <c r="L46" s="25">
        <v>259</v>
      </c>
      <c r="M46" s="46"/>
      <c r="N46" s="7" t="str">
        <f t="shared" si="4"/>
        <v>ramung jaya</v>
      </c>
    </row>
    <row r="47" spans="1:15" ht="17.25" customHeight="1" x14ac:dyDescent="0.25">
      <c r="A47" s="40"/>
      <c r="B47" s="47"/>
      <c r="C47" s="20">
        <v>41</v>
      </c>
      <c r="D47" s="49" t="s">
        <v>59</v>
      </c>
      <c r="E47" s="29" t="s">
        <v>16</v>
      </c>
      <c r="F47" s="23">
        <v>76.44</v>
      </c>
      <c r="G47" s="23">
        <v>380.83</v>
      </c>
      <c r="H47" s="23">
        <v>208.59</v>
      </c>
      <c r="I47" s="43">
        <f t="shared" si="2"/>
        <v>665.86</v>
      </c>
      <c r="J47" s="23">
        <f t="shared" si="3"/>
        <v>665.86</v>
      </c>
      <c r="K47" s="25">
        <v>258366</v>
      </c>
      <c r="L47" s="25">
        <v>170</v>
      </c>
      <c r="M47" s="46"/>
      <c r="N47" s="7" t="str">
        <f t="shared" si="4"/>
        <v>timur jaya</v>
      </c>
    </row>
    <row r="48" spans="1:15" ht="17.25" customHeight="1" x14ac:dyDescent="0.25">
      <c r="A48" s="40"/>
      <c r="B48" s="47"/>
      <c r="C48" s="20">
        <v>42</v>
      </c>
      <c r="D48" s="49" t="s">
        <v>60</v>
      </c>
      <c r="E48" s="29" t="s">
        <v>16</v>
      </c>
      <c r="F48" s="23">
        <v>3.99</v>
      </c>
      <c r="G48" s="23">
        <v>114.16</v>
      </c>
      <c r="H48" s="23">
        <v>6.06</v>
      </c>
      <c r="I48" s="43">
        <f t="shared" si="2"/>
        <v>124.21</v>
      </c>
      <c r="J48" s="23">
        <f t="shared" si="3"/>
        <v>124.21</v>
      </c>
      <c r="K48" s="25">
        <v>78251</v>
      </c>
      <c r="L48" s="25">
        <v>60</v>
      </c>
      <c r="M48" s="46"/>
      <c r="N48" s="7" t="str">
        <f t="shared" si="4"/>
        <v>ceding ayu</v>
      </c>
    </row>
    <row r="49" spans="1:14" ht="17.25" customHeight="1" x14ac:dyDescent="0.25">
      <c r="A49" s="40"/>
      <c r="B49" s="47"/>
      <c r="C49" s="20">
        <v>43</v>
      </c>
      <c r="D49" s="42" t="s">
        <v>61</v>
      </c>
      <c r="E49" s="29" t="s">
        <v>16</v>
      </c>
      <c r="F49" s="23">
        <v>2.06</v>
      </c>
      <c r="G49" s="23">
        <v>105.82</v>
      </c>
      <c r="H49" s="23">
        <v>6.06</v>
      </c>
      <c r="I49" s="43">
        <f t="shared" si="2"/>
        <v>113.94</v>
      </c>
      <c r="J49" s="23">
        <f t="shared" si="3"/>
        <v>113.94</v>
      </c>
      <c r="K49" s="25">
        <v>74383</v>
      </c>
      <c r="L49" s="45">
        <v>248</v>
      </c>
      <c r="M49" s="46"/>
      <c r="N49" s="7" t="str">
        <f t="shared" si="4"/>
        <v>darul aman</v>
      </c>
    </row>
    <row r="50" spans="1:14" ht="17.25" customHeight="1" x14ac:dyDescent="0.25">
      <c r="A50" s="40"/>
      <c r="B50" s="47"/>
      <c r="C50" s="20">
        <v>44</v>
      </c>
      <c r="D50" s="42" t="s">
        <v>62</v>
      </c>
      <c r="E50" s="29" t="s">
        <v>16</v>
      </c>
      <c r="F50" s="48">
        <v>24.31</v>
      </c>
      <c r="G50" s="48">
        <v>370.23</v>
      </c>
      <c r="H50" s="48">
        <v>20.52</v>
      </c>
      <c r="I50" s="43">
        <f t="shared" si="2"/>
        <v>415.06</v>
      </c>
      <c r="J50" s="23">
        <f t="shared" si="3"/>
        <v>415.06</v>
      </c>
      <c r="K50" s="45">
        <v>254761</v>
      </c>
      <c r="L50" s="45">
        <v>337</v>
      </c>
      <c r="M50" s="46"/>
      <c r="N50" s="7" t="str">
        <f t="shared" si="4"/>
        <v>burni pase</v>
      </c>
    </row>
    <row r="51" spans="1:14" ht="17.25" customHeight="1" x14ac:dyDescent="0.25">
      <c r="A51" s="40"/>
      <c r="B51" s="47"/>
      <c r="C51" s="20">
        <v>45</v>
      </c>
      <c r="D51" s="42" t="s">
        <v>63</v>
      </c>
      <c r="E51" s="29" t="s">
        <v>16</v>
      </c>
      <c r="F51" s="48">
        <v>12</v>
      </c>
      <c r="G51" s="48">
        <v>1179.5999999999999</v>
      </c>
      <c r="H51" s="48">
        <v>7.86</v>
      </c>
      <c r="I51" s="43">
        <f t="shared" si="2"/>
        <v>1199.4599999999998</v>
      </c>
      <c r="J51" s="23">
        <f t="shared" si="3"/>
        <v>1199.4599999999998</v>
      </c>
      <c r="K51" s="45">
        <v>822839</v>
      </c>
      <c r="L51" s="45">
        <v>1487</v>
      </c>
      <c r="M51" s="50"/>
      <c r="N51" s="7" t="str">
        <f t="shared" si="4"/>
        <v>wih tenang uken</v>
      </c>
    </row>
    <row r="52" spans="1:14" ht="17.25" customHeight="1" x14ac:dyDescent="0.25">
      <c r="A52" s="40"/>
      <c r="B52" s="47"/>
      <c r="C52" s="20">
        <v>46</v>
      </c>
      <c r="D52" s="42" t="s">
        <v>64</v>
      </c>
      <c r="E52" s="29" t="s">
        <v>16</v>
      </c>
      <c r="F52" s="23">
        <v>30.32</v>
      </c>
      <c r="G52" s="23">
        <v>298.54000000000002</v>
      </c>
      <c r="H52" s="23">
        <v>69.59</v>
      </c>
      <c r="I52" s="43">
        <f t="shared" si="2"/>
        <v>398.45000000000005</v>
      </c>
      <c r="J52" s="23">
        <f t="shared" si="3"/>
        <v>398.45000000000005</v>
      </c>
      <c r="K52" s="45">
        <v>204958</v>
      </c>
      <c r="L52" s="25">
        <v>833</v>
      </c>
      <c r="M52" s="46"/>
      <c r="N52" s="7" t="str">
        <f t="shared" si="4"/>
        <v>bintang permata</v>
      </c>
    </row>
    <row r="53" spans="1:14" ht="17.25" customHeight="1" x14ac:dyDescent="0.25">
      <c r="A53" s="40"/>
      <c r="B53" s="47"/>
      <c r="C53" s="20">
        <v>47</v>
      </c>
      <c r="D53" s="42" t="s">
        <v>65</v>
      </c>
      <c r="E53" s="29" t="s">
        <v>16</v>
      </c>
      <c r="F53" s="23">
        <v>6.08</v>
      </c>
      <c r="G53" s="23">
        <v>111.77</v>
      </c>
      <c r="H53" s="23">
        <v>6.77</v>
      </c>
      <c r="I53" s="43">
        <f t="shared" si="2"/>
        <v>124.61999999999999</v>
      </c>
      <c r="J53" s="23">
        <f t="shared" si="3"/>
        <v>124.61999999999999</v>
      </c>
      <c r="K53" s="25">
        <v>76458</v>
      </c>
      <c r="L53" s="25">
        <v>68</v>
      </c>
      <c r="M53" s="46"/>
      <c r="N53" s="7" t="str">
        <f t="shared" si="4"/>
        <v>uning sejuk</v>
      </c>
    </row>
    <row r="54" spans="1:14" ht="17.25" customHeight="1" x14ac:dyDescent="0.25">
      <c r="A54" s="40"/>
      <c r="B54" s="47"/>
      <c r="C54" s="20">
        <v>48</v>
      </c>
      <c r="D54" s="42" t="s">
        <v>66</v>
      </c>
      <c r="E54" s="29" t="s">
        <v>16</v>
      </c>
      <c r="F54" s="23">
        <v>20.440000000000001</v>
      </c>
      <c r="G54" s="23">
        <v>93.73</v>
      </c>
      <c r="H54" s="23">
        <v>9.8699999999999992</v>
      </c>
      <c r="I54" s="43">
        <f t="shared" si="2"/>
        <v>124.04</v>
      </c>
      <c r="J54" s="23">
        <f t="shared" si="3"/>
        <v>124.04</v>
      </c>
      <c r="K54" s="25">
        <v>65259</v>
      </c>
      <c r="L54" s="25">
        <v>110</v>
      </c>
      <c r="M54" s="46"/>
      <c r="N54" s="7" t="str">
        <f t="shared" si="4"/>
        <v>wih tenang toa/bakongan baru</v>
      </c>
    </row>
    <row r="55" spans="1:14" ht="17.25" customHeight="1" x14ac:dyDescent="0.25">
      <c r="A55" s="40"/>
      <c r="B55" s="47"/>
      <c r="C55" s="20">
        <v>49</v>
      </c>
      <c r="D55" s="42" t="s">
        <v>67</v>
      </c>
      <c r="E55" s="29" t="s">
        <v>16</v>
      </c>
      <c r="F55" s="23">
        <v>12.29</v>
      </c>
      <c r="G55" s="23">
        <v>350.88</v>
      </c>
      <c r="H55" s="23">
        <v>9.74</v>
      </c>
      <c r="I55" s="43">
        <f t="shared" si="2"/>
        <v>372.91</v>
      </c>
      <c r="J55" s="23">
        <f t="shared" si="3"/>
        <v>372.91</v>
      </c>
      <c r="K55" s="25">
        <v>239216</v>
      </c>
      <c r="L55" s="25">
        <v>313</v>
      </c>
      <c r="M55" s="46"/>
      <c r="N55" s="7" t="str">
        <f t="shared" si="4"/>
        <v>jelobok</v>
      </c>
    </row>
    <row r="56" spans="1:14" ht="17.25" customHeight="1" x14ac:dyDescent="0.25">
      <c r="A56" s="40"/>
      <c r="B56" s="47"/>
      <c r="C56" s="20">
        <v>50</v>
      </c>
      <c r="D56" s="42" t="s">
        <v>68</v>
      </c>
      <c r="E56" s="29" t="s">
        <v>16</v>
      </c>
      <c r="F56" s="23">
        <v>114.36</v>
      </c>
      <c r="G56" s="23">
        <v>479.16</v>
      </c>
      <c r="H56" s="23">
        <v>121.15</v>
      </c>
      <c r="I56" s="43">
        <f t="shared" si="2"/>
        <v>714.67</v>
      </c>
      <c r="J56" s="23">
        <f t="shared" si="3"/>
        <v>714.67</v>
      </c>
      <c r="K56" s="25">
        <v>333715</v>
      </c>
      <c r="L56" s="25">
        <v>447</v>
      </c>
      <c r="M56" s="46"/>
      <c r="N56" s="7" t="str">
        <f t="shared" si="4"/>
        <v>penosan jaya</v>
      </c>
    </row>
    <row r="57" spans="1:14" ht="17.25" customHeight="1" x14ac:dyDescent="0.25">
      <c r="A57" s="40"/>
      <c r="B57" s="47"/>
      <c r="C57" s="20">
        <v>51</v>
      </c>
      <c r="D57" s="49" t="s">
        <v>69</v>
      </c>
      <c r="E57" s="29" t="s">
        <v>16</v>
      </c>
      <c r="F57" s="23">
        <v>5.12</v>
      </c>
      <c r="G57" s="23">
        <v>243.32</v>
      </c>
      <c r="H57" s="23">
        <v>15.48</v>
      </c>
      <c r="I57" s="43">
        <f t="shared" si="2"/>
        <v>263.92</v>
      </c>
      <c r="J57" s="23">
        <f t="shared" si="3"/>
        <v>263.92</v>
      </c>
      <c r="K57" s="25">
        <v>169654</v>
      </c>
      <c r="L57" s="25">
        <v>370</v>
      </c>
      <c r="M57" s="46"/>
      <c r="N57" s="7" t="str">
        <f t="shared" si="4"/>
        <v>bener pepanyi</v>
      </c>
    </row>
    <row r="58" spans="1:14" ht="17.25" customHeight="1" x14ac:dyDescent="0.25">
      <c r="A58" s="40"/>
      <c r="B58" s="47"/>
      <c r="C58" s="20">
        <v>52</v>
      </c>
      <c r="D58" s="49" t="s">
        <v>70</v>
      </c>
      <c r="E58" s="29" t="s">
        <v>16</v>
      </c>
      <c r="F58" s="23">
        <v>46.59</v>
      </c>
      <c r="G58" s="23">
        <v>475.05</v>
      </c>
      <c r="H58" s="23">
        <v>73.209999999999994</v>
      </c>
      <c r="I58" s="43">
        <f t="shared" si="2"/>
        <v>594.85</v>
      </c>
      <c r="J58" s="23">
        <f t="shared" si="3"/>
        <v>594.85</v>
      </c>
      <c r="K58" s="25">
        <v>329948</v>
      </c>
      <c r="L58" s="25">
        <v>429</v>
      </c>
      <c r="M58" s="46"/>
      <c r="N58" s="7" t="str">
        <f t="shared" si="4"/>
        <v>bintang bener</v>
      </c>
    </row>
    <row r="59" spans="1:14" ht="17.25" customHeight="1" x14ac:dyDescent="0.25">
      <c r="A59" s="40"/>
      <c r="B59" s="47"/>
      <c r="C59" s="20">
        <v>53</v>
      </c>
      <c r="D59" s="49" t="s">
        <v>71</v>
      </c>
      <c r="E59" s="29" t="s">
        <v>16</v>
      </c>
      <c r="F59" s="23">
        <v>9.25</v>
      </c>
      <c r="G59" s="23">
        <v>55.91</v>
      </c>
      <c r="H59" s="23">
        <v>36.840000000000003</v>
      </c>
      <c r="I59" s="43">
        <f t="shared" si="2"/>
        <v>102</v>
      </c>
      <c r="J59" s="23">
        <f t="shared" si="3"/>
        <v>102</v>
      </c>
      <c r="K59" s="25">
        <v>39052</v>
      </c>
      <c r="L59" s="25">
        <v>154</v>
      </c>
      <c r="M59" s="46"/>
      <c r="N59" s="7" t="str">
        <f t="shared" si="4"/>
        <v>pemango</v>
      </c>
    </row>
    <row r="60" spans="1:14" ht="17.25" customHeight="1" x14ac:dyDescent="0.25">
      <c r="A60" s="40"/>
      <c r="B60" s="47"/>
      <c r="C60" s="20">
        <v>54</v>
      </c>
      <c r="D60" s="49" t="s">
        <v>72</v>
      </c>
      <c r="E60" s="29" t="s">
        <v>16</v>
      </c>
      <c r="F60" s="23">
        <v>8.11</v>
      </c>
      <c r="G60" s="23">
        <v>118.21</v>
      </c>
      <c r="H60" s="23">
        <v>31.83</v>
      </c>
      <c r="I60" s="43">
        <f t="shared" si="2"/>
        <v>158.14999999999998</v>
      </c>
      <c r="J60" s="23">
        <f t="shared" si="3"/>
        <v>158.14999999999998</v>
      </c>
      <c r="K60" s="25">
        <v>82015</v>
      </c>
      <c r="L60" s="25">
        <v>530</v>
      </c>
      <c r="M60" s="46"/>
      <c r="N60" s="7" t="str">
        <f t="shared" si="4"/>
        <v>gelampang wih tenang uken</v>
      </c>
    </row>
    <row r="61" spans="1:14" ht="17.25" customHeight="1" x14ac:dyDescent="0.25">
      <c r="A61" s="40"/>
      <c r="B61" s="47"/>
      <c r="C61" s="20">
        <v>55</v>
      </c>
      <c r="D61" s="49" t="s">
        <v>73</v>
      </c>
      <c r="E61" s="29" t="s">
        <v>16</v>
      </c>
      <c r="F61" s="23">
        <v>36.729999999999997</v>
      </c>
      <c r="G61" s="23">
        <v>246.53</v>
      </c>
      <c r="H61" s="23">
        <v>74.239999999999995</v>
      </c>
      <c r="I61" s="43">
        <f t="shared" si="2"/>
        <v>357.5</v>
      </c>
      <c r="J61" s="23">
        <f t="shared" si="3"/>
        <v>357.5</v>
      </c>
      <c r="K61" s="25">
        <v>173948</v>
      </c>
      <c r="L61" s="25">
        <v>74</v>
      </c>
      <c r="M61" s="46"/>
      <c r="N61" s="7" t="str">
        <f t="shared" si="4"/>
        <v>bale purnama</v>
      </c>
    </row>
    <row r="62" spans="1:14" ht="17.25" customHeight="1" x14ac:dyDescent="0.25">
      <c r="A62" s="40"/>
      <c r="B62" s="47"/>
      <c r="C62" s="20">
        <v>56</v>
      </c>
      <c r="D62" s="42" t="s">
        <v>74</v>
      </c>
      <c r="E62" s="29" t="s">
        <v>16</v>
      </c>
      <c r="F62" s="23">
        <v>196.88</v>
      </c>
      <c r="G62" s="23">
        <v>492.48</v>
      </c>
      <c r="H62" s="23">
        <v>49.96</v>
      </c>
      <c r="I62" s="43">
        <f t="shared" si="2"/>
        <v>739.32</v>
      </c>
      <c r="J62" s="23">
        <f t="shared" si="3"/>
        <v>739.32</v>
      </c>
      <c r="K62" s="25">
        <v>332722</v>
      </c>
      <c r="L62" s="25">
        <v>497</v>
      </c>
      <c r="M62" s="46"/>
      <c r="N62" s="7" t="str">
        <f t="shared" si="4"/>
        <v>temas mumanang</v>
      </c>
    </row>
    <row r="63" spans="1:14" ht="17.25" customHeight="1" x14ac:dyDescent="0.25">
      <c r="A63" s="40"/>
      <c r="B63" s="47"/>
      <c r="C63" s="20">
        <v>57</v>
      </c>
      <c r="D63" s="42" t="s">
        <v>75</v>
      </c>
      <c r="E63" s="29" t="s">
        <v>16</v>
      </c>
      <c r="F63" s="23">
        <v>9.9600000000000009</v>
      </c>
      <c r="G63" s="23">
        <v>149.13</v>
      </c>
      <c r="H63" s="23">
        <v>20.09</v>
      </c>
      <c r="I63" s="43">
        <f t="shared" si="2"/>
        <v>179.18</v>
      </c>
      <c r="J63" s="23">
        <f t="shared" si="3"/>
        <v>179.18</v>
      </c>
      <c r="K63" s="25">
        <v>104749</v>
      </c>
      <c r="L63" s="25">
        <v>193</v>
      </c>
      <c r="M63" s="46"/>
      <c r="N63" s="7" t="str">
        <f t="shared" si="4"/>
        <v>tawar bengi</v>
      </c>
    </row>
    <row r="64" spans="1:14" ht="17.25" customHeight="1" x14ac:dyDescent="0.25">
      <c r="A64" s="2" t="s">
        <v>46</v>
      </c>
      <c r="B64" s="2"/>
      <c r="C64" s="2"/>
      <c r="D64" s="2"/>
      <c r="E64" s="33"/>
      <c r="F64" s="34">
        <f>SUM(F37:F63)</f>
        <v>1065.1100000000001</v>
      </c>
      <c r="G64" s="34">
        <f>SUM(G37:G63)</f>
        <v>8642.34</v>
      </c>
      <c r="H64" s="34">
        <f>SUM(H37:H63)</f>
        <v>1447.8899999999999</v>
      </c>
      <c r="I64" s="34"/>
      <c r="J64" s="35">
        <f>SUM(J37:J63)</f>
        <v>11155.339999999998</v>
      </c>
      <c r="K64" s="36">
        <f>SUM(K37:K63)</f>
        <v>5960593</v>
      </c>
      <c r="L64" s="36">
        <f>SUM(L37:L63)</f>
        <v>10413</v>
      </c>
      <c r="M64" s="37"/>
    </row>
    <row r="65" spans="1:13" ht="17.25" customHeight="1" x14ac:dyDescent="0.25">
      <c r="A65" s="40" t="s">
        <v>76</v>
      </c>
      <c r="B65" s="41" t="s">
        <v>77</v>
      </c>
      <c r="C65" s="20">
        <v>58</v>
      </c>
      <c r="D65" s="51" t="s">
        <v>78</v>
      </c>
      <c r="E65" s="29" t="s">
        <v>16</v>
      </c>
      <c r="F65" s="48">
        <v>4.0999999999999996</v>
      </c>
      <c r="G65" s="48">
        <v>396.86</v>
      </c>
      <c r="H65" s="48">
        <v>2.0099999999999998</v>
      </c>
      <c r="I65" s="52"/>
      <c r="J65" s="23">
        <f t="shared" ref="J65:J79" si="5">SUM(F65:H65)</f>
        <v>402.97</v>
      </c>
      <c r="K65" s="25">
        <v>297198</v>
      </c>
      <c r="L65" s="53">
        <v>220</v>
      </c>
      <c r="M65" s="54"/>
    </row>
    <row r="66" spans="1:13" ht="17.25" customHeight="1" x14ac:dyDescent="0.25">
      <c r="A66" s="40"/>
      <c r="B66" s="47"/>
      <c r="C66" s="20">
        <v>59</v>
      </c>
      <c r="D66" s="51" t="s">
        <v>79</v>
      </c>
      <c r="E66" s="29" t="s">
        <v>16</v>
      </c>
      <c r="F66" s="48">
        <v>6</v>
      </c>
      <c r="G66" s="48">
        <v>191.45</v>
      </c>
      <c r="H66" s="48">
        <v>11.82</v>
      </c>
      <c r="I66" s="52"/>
      <c r="J66" s="23">
        <f t="shared" si="5"/>
        <v>209.26999999999998</v>
      </c>
      <c r="K66" s="25">
        <v>140024</v>
      </c>
      <c r="L66" s="53">
        <v>155</v>
      </c>
      <c r="M66" s="54"/>
    </row>
    <row r="67" spans="1:13" ht="17.25" customHeight="1" x14ac:dyDescent="0.25">
      <c r="A67" s="40"/>
      <c r="B67" s="47"/>
      <c r="C67" s="20">
        <v>60</v>
      </c>
      <c r="D67" s="51" t="s">
        <v>80</v>
      </c>
      <c r="E67" s="29" t="s">
        <v>16</v>
      </c>
      <c r="F67" s="48">
        <v>6.19</v>
      </c>
      <c r="G67" s="48">
        <v>298.45999999999998</v>
      </c>
      <c r="H67" s="48">
        <v>8.0399999999999991</v>
      </c>
      <c r="I67" s="52"/>
      <c r="J67" s="23">
        <f t="shared" si="5"/>
        <v>312.69</v>
      </c>
      <c r="K67" s="25">
        <v>218235</v>
      </c>
      <c r="L67" s="53">
        <v>174</v>
      </c>
      <c r="M67" s="54"/>
    </row>
    <row r="68" spans="1:13" ht="17.25" customHeight="1" x14ac:dyDescent="0.25">
      <c r="A68" s="40"/>
      <c r="B68" s="47"/>
      <c r="C68" s="20">
        <v>61</v>
      </c>
      <c r="D68" s="55" t="s">
        <v>81</v>
      </c>
      <c r="E68" s="29" t="s">
        <v>16</v>
      </c>
      <c r="F68" s="48">
        <v>8.0399999999999991</v>
      </c>
      <c r="G68" s="48">
        <v>348.3</v>
      </c>
      <c r="H68" s="48">
        <v>19.66</v>
      </c>
      <c r="I68" s="52"/>
      <c r="J68" s="23">
        <f t="shared" si="5"/>
        <v>376.00000000000006</v>
      </c>
      <c r="K68" s="25">
        <v>258677</v>
      </c>
      <c r="L68" s="53">
        <v>177</v>
      </c>
      <c r="M68" s="54"/>
    </row>
    <row r="69" spans="1:13" ht="17.25" customHeight="1" x14ac:dyDescent="0.25">
      <c r="A69" s="40"/>
      <c r="B69" s="47"/>
      <c r="C69" s="20">
        <v>62</v>
      </c>
      <c r="D69" s="55" t="s">
        <v>82</v>
      </c>
      <c r="E69" s="29" t="s">
        <v>16</v>
      </c>
      <c r="F69" s="48">
        <v>7</v>
      </c>
      <c r="G69" s="48">
        <v>218.22</v>
      </c>
      <c r="H69" s="48">
        <v>8.0500000000000007</v>
      </c>
      <c r="I69" s="52"/>
      <c r="J69" s="23">
        <f t="shared" si="5"/>
        <v>233.27</v>
      </c>
      <c r="K69" s="25">
        <v>157458</v>
      </c>
      <c r="L69" s="53">
        <v>242</v>
      </c>
      <c r="M69" s="54"/>
    </row>
    <row r="70" spans="1:13" ht="17.25" customHeight="1" x14ac:dyDescent="0.25">
      <c r="A70" s="40"/>
      <c r="B70" s="47"/>
      <c r="C70" s="20">
        <v>63</v>
      </c>
      <c r="D70" s="55" t="s">
        <v>83</v>
      </c>
      <c r="E70" s="29" t="s">
        <v>16</v>
      </c>
      <c r="F70" s="48">
        <v>2.0299999999999998</v>
      </c>
      <c r="G70" s="48">
        <v>110.08</v>
      </c>
      <c r="H70" s="48">
        <v>10</v>
      </c>
      <c r="I70" s="52"/>
      <c r="J70" s="23">
        <f t="shared" si="5"/>
        <v>122.11</v>
      </c>
      <c r="K70" s="25">
        <v>79364</v>
      </c>
      <c r="L70" s="53">
        <v>204</v>
      </c>
      <c r="M70" s="54"/>
    </row>
    <row r="71" spans="1:13" ht="17.25" customHeight="1" x14ac:dyDescent="0.25">
      <c r="A71" s="40"/>
      <c r="B71" s="47"/>
      <c r="C71" s="20">
        <v>64</v>
      </c>
      <c r="D71" s="55" t="s">
        <v>84</v>
      </c>
      <c r="E71" s="29" t="s">
        <v>16</v>
      </c>
      <c r="F71" s="48">
        <v>11.98</v>
      </c>
      <c r="G71" s="48">
        <v>401.24</v>
      </c>
      <c r="H71" s="48">
        <v>31.7</v>
      </c>
      <c r="I71" s="52"/>
      <c r="J71" s="23">
        <f t="shared" si="5"/>
        <v>444.92</v>
      </c>
      <c r="K71" s="25">
        <v>302363</v>
      </c>
      <c r="L71" s="53">
        <v>141</v>
      </c>
      <c r="M71" s="54"/>
    </row>
    <row r="72" spans="1:13" ht="17.25" customHeight="1" x14ac:dyDescent="0.25">
      <c r="A72" s="40"/>
      <c r="B72" s="47"/>
      <c r="C72" s="20">
        <v>65</v>
      </c>
      <c r="D72" s="56" t="s">
        <v>85</v>
      </c>
      <c r="E72" s="29" t="s">
        <v>16</v>
      </c>
      <c r="F72" s="48">
        <v>6.06</v>
      </c>
      <c r="G72" s="48">
        <v>208.93</v>
      </c>
      <c r="H72" s="48">
        <v>14.64</v>
      </c>
      <c r="I72" s="52"/>
      <c r="J72" s="23">
        <f t="shared" si="5"/>
        <v>229.63</v>
      </c>
      <c r="K72" s="25">
        <v>155488</v>
      </c>
      <c r="L72" s="53">
        <v>288</v>
      </c>
      <c r="M72" s="54"/>
    </row>
    <row r="73" spans="1:13" ht="17.25" customHeight="1" x14ac:dyDescent="0.25">
      <c r="A73" s="40"/>
      <c r="B73" s="47"/>
      <c r="C73" s="20">
        <v>66</v>
      </c>
      <c r="D73" s="56" t="s">
        <v>86</v>
      </c>
      <c r="E73" s="29" t="s">
        <v>16</v>
      </c>
      <c r="F73" s="48">
        <v>7.09</v>
      </c>
      <c r="G73" s="48">
        <v>196.46</v>
      </c>
      <c r="H73" s="48">
        <v>4.97</v>
      </c>
      <c r="I73" s="52"/>
      <c r="J73" s="23">
        <f t="shared" si="5"/>
        <v>208.52</v>
      </c>
      <c r="K73" s="25">
        <v>141715</v>
      </c>
      <c r="L73" s="53">
        <v>118</v>
      </c>
      <c r="M73" s="54"/>
    </row>
    <row r="74" spans="1:13" ht="17.25" customHeight="1" x14ac:dyDescent="0.25">
      <c r="A74" s="40"/>
      <c r="B74" s="47"/>
      <c r="C74" s="20">
        <v>67</v>
      </c>
      <c r="D74" s="56" t="s">
        <v>87</v>
      </c>
      <c r="E74" s="29" t="s">
        <v>16</v>
      </c>
      <c r="F74" s="48">
        <v>5.15</v>
      </c>
      <c r="G74" s="48">
        <v>237.45</v>
      </c>
      <c r="H74" s="48">
        <v>4.9000000000000004</v>
      </c>
      <c r="I74" s="52"/>
      <c r="J74" s="23">
        <f t="shared" si="5"/>
        <v>247.5</v>
      </c>
      <c r="K74" s="25">
        <v>179707</v>
      </c>
      <c r="L74" s="53">
        <v>111</v>
      </c>
      <c r="M74" s="54"/>
    </row>
    <row r="75" spans="1:13" ht="17.25" customHeight="1" x14ac:dyDescent="0.25">
      <c r="A75" s="40"/>
      <c r="B75" s="47"/>
      <c r="C75" s="20">
        <v>68</v>
      </c>
      <c r="D75" s="56" t="s">
        <v>88</v>
      </c>
      <c r="E75" s="29" t="s">
        <v>16</v>
      </c>
      <c r="F75" s="48">
        <v>8.1</v>
      </c>
      <c r="G75" s="48">
        <v>478.74</v>
      </c>
      <c r="H75" s="48">
        <v>6.76</v>
      </c>
      <c r="I75" s="52"/>
      <c r="J75" s="23">
        <f t="shared" si="5"/>
        <v>493.6</v>
      </c>
      <c r="K75" s="25">
        <v>356208</v>
      </c>
      <c r="L75" s="53">
        <v>246</v>
      </c>
      <c r="M75" s="54"/>
    </row>
    <row r="76" spans="1:13" ht="17.25" customHeight="1" x14ac:dyDescent="0.25">
      <c r="A76" s="40"/>
      <c r="B76" s="47"/>
      <c r="C76" s="20">
        <v>69</v>
      </c>
      <c r="D76" s="56" t="s">
        <v>89</v>
      </c>
      <c r="E76" s="29" t="s">
        <v>16</v>
      </c>
      <c r="F76" s="48">
        <v>9.2799999999999994</v>
      </c>
      <c r="G76" s="48">
        <v>306.64999999999998</v>
      </c>
      <c r="H76" s="48">
        <v>6.78</v>
      </c>
      <c r="I76" s="52"/>
      <c r="J76" s="23">
        <f t="shared" si="5"/>
        <v>322.70999999999992</v>
      </c>
      <c r="K76" s="25">
        <v>227537</v>
      </c>
      <c r="L76" s="53">
        <v>202</v>
      </c>
      <c r="M76" s="54"/>
    </row>
    <row r="77" spans="1:13" ht="17.25" customHeight="1" x14ac:dyDescent="0.25">
      <c r="A77" s="40"/>
      <c r="B77" s="47"/>
      <c r="C77" s="20">
        <v>70</v>
      </c>
      <c r="D77" s="51" t="s">
        <v>90</v>
      </c>
      <c r="E77" s="29" t="s">
        <v>16</v>
      </c>
      <c r="F77" s="48">
        <v>7.92</v>
      </c>
      <c r="G77" s="48">
        <v>414.61</v>
      </c>
      <c r="H77" s="48">
        <v>11.64</v>
      </c>
      <c r="I77" s="52"/>
      <c r="J77" s="23">
        <f t="shared" si="5"/>
        <v>434.17</v>
      </c>
      <c r="K77" s="25">
        <v>306323</v>
      </c>
      <c r="L77" s="53">
        <v>219</v>
      </c>
      <c r="M77" s="54"/>
    </row>
    <row r="78" spans="1:13" ht="17.25" customHeight="1" x14ac:dyDescent="0.25">
      <c r="A78" s="40"/>
      <c r="B78" s="47"/>
      <c r="C78" s="20">
        <v>71</v>
      </c>
      <c r="D78" s="55" t="s">
        <v>91</v>
      </c>
      <c r="E78" s="29" t="s">
        <v>16</v>
      </c>
      <c r="F78" s="48">
        <v>15.19</v>
      </c>
      <c r="G78" s="57">
        <v>197.61</v>
      </c>
      <c r="H78" s="48">
        <v>7.05</v>
      </c>
      <c r="I78" s="52"/>
      <c r="J78" s="23">
        <f t="shared" si="5"/>
        <v>219.85000000000002</v>
      </c>
      <c r="K78" s="25">
        <v>145520</v>
      </c>
      <c r="L78" s="53">
        <v>165</v>
      </c>
      <c r="M78" s="54"/>
    </row>
    <row r="79" spans="1:13" ht="17.25" customHeight="1" x14ac:dyDescent="0.25">
      <c r="A79" s="40"/>
      <c r="B79" s="47"/>
      <c r="C79" s="20">
        <v>72</v>
      </c>
      <c r="D79" s="51" t="s">
        <v>92</v>
      </c>
      <c r="E79" s="29" t="s">
        <v>16</v>
      </c>
      <c r="F79" s="48">
        <v>15.36</v>
      </c>
      <c r="G79" s="58">
        <v>334.55</v>
      </c>
      <c r="H79" s="48">
        <v>8.02</v>
      </c>
      <c r="I79" s="52"/>
      <c r="J79" s="23">
        <f t="shared" si="5"/>
        <v>357.93</v>
      </c>
      <c r="K79" s="25">
        <v>244040</v>
      </c>
      <c r="L79" s="53">
        <v>277</v>
      </c>
      <c r="M79" s="54"/>
    </row>
    <row r="80" spans="1:13" ht="17.25" customHeight="1" x14ac:dyDescent="0.25">
      <c r="A80" s="2" t="s">
        <v>46</v>
      </c>
      <c r="B80" s="2"/>
      <c r="C80" s="2"/>
      <c r="D80" s="2"/>
      <c r="E80" s="33"/>
      <c r="F80" s="34">
        <f>SUM(F65:F79)</f>
        <v>119.49000000000001</v>
      </c>
      <c r="G80" s="34">
        <f>SUM(G65:G79)</f>
        <v>4339.6099999999997</v>
      </c>
      <c r="H80" s="34">
        <f>SUM(H65:H79)</f>
        <v>156.04000000000005</v>
      </c>
      <c r="I80" s="34"/>
      <c r="J80" s="35">
        <f>SUM(J65:J79)</f>
        <v>4615.1400000000003</v>
      </c>
      <c r="K80" s="36">
        <f>SUM(K65:K79)</f>
        <v>3209857</v>
      </c>
      <c r="L80" s="36">
        <f>SUM(L65:L79)</f>
        <v>2939</v>
      </c>
      <c r="M80" s="37"/>
    </row>
    <row r="81" spans="1:13" ht="17.25" customHeight="1" x14ac:dyDescent="0.25">
      <c r="A81" s="40" t="s">
        <v>93</v>
      </c>
      <c r="B81" s="41" t="s">
        <v>94</v>
      </c>
      <c r="C81" s="20">
        <v>73</v>
      </c>
      <c r="D81" s="59" t="s">
        <v>95</v>
      </c>
      <c r="E81" s="29" t="s">
        <v>16</v>
      </c>
      <c r="F81" s="60">
        <v>2.99</v>
      </c>
      <c r="G81" s="60">
        <v>8.9600000000000009</v>
      </c>
      <c r="H81" s="60" t="s">
        <v>96</v>
      </c>
      <c r="I81" s="61"/>
      <c r="J81" s="23">
        <f t="shared" ref="J81:J106" si="6">SUM(F81:H81)</f>
        <v>11.950000000000001</v>
      </c>
      <c r="K81" s="25">
        <v>4154</v>
      </c>
      <c r="L81" s="44">
        <v>71</v>
      </c>
      <c r="M81" s="54"/>
    </row>
    <row r="82" spans="1:13" ht="17.25" customHeight="1" x14ac:dyDescent="0.25">
      <c r="A82" s="40"/>
      <c r="B82" s="47"/>
      <c r="C82" s="20">
        <v>74</v>
      </c>
      <c r="D82" s="21" t="s">
        <v>97</v>
      </c>
      <c r="E82" s="29" t="s">
        <v>16</v>
      </c>
      <c r="F82" s="23">
        <v>2.06</v>
      </c>
      <c r="G82" s="23">
        <v>9.92</v>
      </c>
      <c r="H82" s="23">
        <v>2.93</v>
      </c>
      <c r="I82" s="24"/>
      <c r="J82" s="23">
        <f t="shared" si="6"/>
        <v>14.91</v>
      </c>
      <c r="K82" s="25">
        <v>4696</v>
      </c>
      <c r="L82" s="25">
        <v>25</v>
      </c>
      <c r="M82" s="54"/>
    </row>
    <row r="83" spans="1:13" ht="17.25" customHeight="1" x14ac:dyDescent="0.25">
      <c r="A83" s="40"/>
      <c r="B83" s="47"/>
      <c r="C83" s="20">
        <v>75</v>
      </c>
      <c r="D83" s="21" t="s">
        <v>98</v>
      </c>
      <c r="E83" s="29" t="s">
        <v>16</v>
      </c>
      <c r="F83" s="23">
        <v>4.0199999999999996</v>
      </c>
      <c r="G83" s="23">
        <v>58.46</v>
      </c>
      <c r="H83" s="23">
        <v>10.66</v>
      </c>
      <c r="I83" s="24"/>
      <c r="J83" s="23">
        <f t="shared" si="6"/>
        <v>73.14</v>
      </c>
      <c r="K83" s="25">
        <v>38456</v>
      </c>
      <c r="L83" s="25">
        <v>176</v>
      </c>
      <c r="M83" s="54"/>
    </row>
    <row r="84" spans="1:13" ht="17.25" customHeight="1" x14ac:dyDescent="0.25">
      <c r="A84" s="40"/>
      <c r="B84" s="47"/>
      <c r="C84" s="20">
        <v>76</v>
      </c>
      <c r="D84" s="21" t="s">
        <v>99</v>
      </c>
      <c r="E84" s="29" t="s">
        <v>16</v>
      </c>
      <c r="F84" s="23">
        <v>4</v>
      </c>
      <c r="G84" s="23">
        <v>38.119999999999997</v>
      </c>
      <c r="H84" s="23" t="s">
        <v>96</v>
      </c>
      <c r="I84" s="24"/>
      <c r="J84" s="23">
        <f t="shared" si="6"/>
        <v>42.12</v>
      </c>
      <c r="K84" s="25">
        <v>25302</v>
      </c>
      <c r="L84" s="25">
        <v>172</v>
      </c>
      <c r="M84" s="54"/>
    </row>
    <row r="85" spans="1:13" ht="17.25" customHeight="1" x14ac:dyDescent="0.25">
      <c r="A85" s="40"/>
      <c r="B85" s="47"/>
      <c r="C85" s="20">
        <v>77</v>
      </c>
      <c r="D85" s="21" t="s">
        <v>100</v>
      </c>
      <c r="E85" s="29" t="s">
        <v>16</v>
      </c>
      <c r="F85" s="23">
        <v>0</v>
      </c>
      <c r="G85" s="23">
        <v>178.77</v>
      </c>
      <c r="H85" s="23">
        <v>12.59</v>
      </c>
      <c r="I85" s="24"/>
      <c r="J85" s="23">
        <f t="shared" si="6"/>
        <v>191.36</v>
      </c>
      <c r="K85" s="25">
        <v>120690</v>
      </c>
      <c r="L85" s="25">
        <v>102</v>
      </c>
      <c r="M85" s="54"/>
    </row>
    <row r="86" spans="1:13" ht="17.25" customHeight="1" x14ac:dyDescent="0.25">
      <c r="A86" s="40"/>
      <c r="B86" s="47"/>
      <c r="C86" s="20">
        <v>78</v>
      </c>
      <c r="D86" s="21" t="s">
        <v>101</v>
      </c>
      <c r="E86" s="29" t="s">
        <v>16</v>
      </c>
      <c r="F86" s="23">
        <v>1.94</v>
      </c>
      <c r="G86" s="31">
        <v>17.84</v>
      </c>
      <c r="H86" s="23">
        <v>13.45</v>
      </c>
      <c r="I86" s="24"/>
      <c r="J86" s="23">
        <f t="shared" si="6"/>
        <v>33.230000000000004</v>
      </c>
      <c r="K86" s="25">
        <v>10814</v>
      </c>
      <c r="L86" s="25">
        <v>63</v>
      </c>
      <c r="M86" s="54"/>
    </row>
    <row r="87" spans="1:13" ht="17.25" customHeight="1" x14ac:dyDescent="0.25">
      <c r="A87" s="40"/>
      <c r="B87" s="47"/>
      <c r="C87" s="20">
        <v>79</v>
      </c>
      <c r="D87" s="21" t="s">
        <v>102</v>
      </c>
      <c r="E87" s="29" t="s">
        <v>16</v>
      </c>
      <c r="F87" s="23">
        <v>40.950000000000003</v>
      </c>
      <c r="G87" s="23">
        <v>61.92</v>
      </c>
      <c r="H87" s="23">
        <v>3.88</v>
      </c>
      <c r="I87" s="24"/>
      <c r="J87" s="23">
        <f t="shared" si="6"/>
        <v>106.75</v>
      </c>
      <c r="K87" s="25">
        <v>41679</v>
      </c>
      <c r="L87" s="25">
        <v>435</v>
      </c>
      <c r="M87" s="54"/>
    </row>
    <row r="88" spans="1:13" ht="17.25" customHeight="1" x14ac:dyDescent="0.25">
      <c r="A88" s="40"/>
      <c r="B88" s="47"/>
      <c r="C88" s="20">
        <v>80</v>
      </c>
      <c r="D88" s="21" t="s">
        <v>103</v>
      </c>
      <c r="E88" s="29" t="s">
        <v>16</v>
      </c>
      <c r="F88" s="23">
        <v>20.48</v>
      </c>
      <c r="G88" s="23">
        <v>45.1</v>
      </c>
      <c r="H88" s="23">
        <v>35.76</v>
      </c>
      <c r="I88" s="24"/>
      <c r="J88" s="23">
        <f t="shared" si="6"/>
        <v>101.34</v>
      </c>
      <c r="K88" s="25">
        <v>34748</v>
      </c>
      <c r="L88" s="25">
        <v>221</v>
      </c>
      <c r="M88" s="54"/>
    </row>
    <row r="89" spans="1:13" ht="17.25" customHeight="1" x14ac:dyDescent="0.25">
      <c r="A89" s="40"/>
      <c r="B89" s="47"/>
      <c r="C89" s="20">
        <v>81</v>
      </c>
      <c r="D89" s="21" t="s">
        <v>104</v>
      </c>
      <c r="E89" s="29" t="s">
        <v>16</v>
      </c>
      <c r="F89" s="23">
        <v>6.35</v>
      </c>
      <c r="G89" s="23">
        <v>157.19999999999999</v>
      </c>
      <c r="H89" s="23">
        <v>23.53</v>
      </c>
      <c r="I89" s="24"/>
      <c r="J89" s="23">
        <f t="shared" si="6"/>
        <v>187.07999999999998</v>
      </c>
      <c r="K89" s="25">
        <v>137643</v>
      </c>
      <c r="L89" s="25">
        <v>228</v>
      </c>
      <c r="M89" s="54"/>
    </row>
    <row r="90" spans="1:13" ht="17.25" customHeight="1" x14ac:dyDescent="0.25">
      <c r="A90" s="40"/>
      <c r="B90" s="47"/>
      <c r="C90" s="20">
        <v>82</v>
      </c>
      <c r="D90" s="21" t="s">
        <v>105</v>
      </c>
      <c r="E90" s="29" t="s">
        <v>16</v>
      </c>
      <c r="F90" s="23" t="s">
        <v>96</v>
      </c>
      <c r="G90" s="23">
        <v>174.42</v>
      </c>
      <c r="H90" s="23">
        <v>1.48</v>
      </c>
      <c r="I90" s="24"/>
      <c r="J90" s="23">
        <f t="shared" si="6"/>
        <v>175.89999999999998</v>
      </c>
      <c r="K90" s="25">
        <v>119814</v>
      </c>
      <c r="L90" s="25">
        <v>144</v>
      </c>
      <c r="M90" s="54"/>
    </row>
    <row r="91" spans="1:13" ht="17.25" customHeight="1" x14ac:dyDescent="0.25">
      <c r="A91" s="40"/>
      <c r="B91" s="47"/>
      <c r="C91" s="20">
        <v>83</v>
      </c>
      <c r="D91" s="21" t="s">
        <v>106</v>
      </c>
      <c r="E91" s="29" t="s">
        <v>16</v>
      </c>
      <c r="F91" s="23">
        <v>3.45</v>
      </c>
      <c r="G91" s="23">
        <v>14.17</v>
      </c>
      <c r="H91" s="23" t="s">
        <v>96</v>
      </c>
      <c r="I91" s="24"/>
      <c r="J91" s="23">
        <f t="shared" si="6"/>
        <v>17.62</v>
      </c>
      <c r="K91" s="25">
        <v>10679</v>
      </c>
      <c r="L91" s="25">
        <v>381</v>
      </c>
      <c r="M91" s="54"/>
    </row>
    <row r="92" spans="1:13" ht="17.25" customHeight="1" x14ac:dyDescent="0.25">
      <c r="A92" s="40"/>
      <c r="B92" s="47"/>
      <c r="C92" s="20">
        <v>84</v>
      </c>
      <c r="D92" s="62" t="s">
        <v>107</v>
      </c>
      <c r="E92" s="29" t="s">
        <v>16</v>
      </c>
      <c r="F92" s="23">
        <v>7.16</v>
      </c>
      <c r="G92" s="23">
        <v>294.77</v>
      </c>
      <c r="H92" s="23">
        <v>21.24</v>
      </c>
      <c r="I92" s="24"/>
      <c r="J92" s="23">
        <f t="shared" si="6"/>
        <v>323.17</v>
      </c>
      <c r="K92" s="25">
        <v>198663</v>
      </c>
      <c r="L92" s="25">
        <v>198</v>
      </c>
      <c r="M92" s="54"/>
    </row>
    <row r="93" spans="1:13" ht="17.25" customHeight="1" x14ac:dyDescent="0.25">
      <c r="A93" s="40"/>
      <c r="B93" s="47"/>
      <c r="C93" s="20">
        <v>85</v>
      </c>
      <c r="D93" s="21" t="s">
        <v>108</v>
      </c>
      <c r="E93" s="29" t="s">
        <v>16</v>
      </c>
      <c r="F93" s="23" t="s">
        <v>96</v>
      </c>
      <c r="G93" s="31">
        <v>127.67</v>
      </c>
      <c r="H93" s="23" t="s">
        <v>96</v>
      </c>
      <c r="I93" s="24"/>
      <c r="J93" s="23">
        <f t="shared" si="6"/>
        <v>127.67</v>
      </c>
      <c r="K93" s="25">
        <v>76633</v>
      </c>
      <c r="L93" s="25">
        <v>170</v>
      </c>
      <c r="M93" s="54"/>
    </row>
    <row r="94" spans="1:13" ht="17.25" customHeight="1" x14ac:dyDescent="0.25">
      <c r="A94" s="40"/>
      <c r="B94" s="47"/>
      <c r="C94" s="20">
        <v>86</v>
      </c>
      <c r="D94" s="21" t="s">
        <v>109</v>
      </c>
      <c r="E94" s="29" t="s">
        <v>16</v>
      </c>
      <c r="F94" s="23">
        <v>6.53</v>
      </c>
      <c r="G94" s="31">
        <v>29.64</v>
      </c>
      <c r="H94" s="23">
        <v>7.02</v>
      </c>
      <c r="I94" s="24"/>
      <c r="J94" s="23">
        <f t="shared" si="6"/>
        <v>43.19</v>
      </c>
      <c r="K94" s="25">
        <v>16660</v>
      </c>
      <c r="L94" s="25">
        <v>76</v>
      </c>
      <c r="M94" s="54"/>
    </row>
    <row r="95" spans="1:13" ht="17.25" customHeight="1" x14ac:dyDescent="0.25">
      <c r="A95" s="40"/>
      <c r="B95" s="47"/>
      <c r="C95" s="20">
        <v>87</v>
      </c>
      <c r="D95" s="21" t="s">
        <v>110</v>
      </c>
      <c r="E95" s="29" t="s">
        <v>16</v>
      </c>
      <c r="F95" s="23">
        <v>6.12</v>
      </c>
      <c r="G95" s="31">
        <v>106.22</v>
      </c>
      <c r="H95" s="23">
        <v>30.35</v>
      </c>
      <c r="I95" s="24"/>
      <c r="J95" s="23">
        <f t="shared" si="6"/>
        <v>142.69</v>
      </c>
      <c r="K95" s="25">
        <v>91202</v>
      </c>
      <c r="L95" s="25">
        <v>150</v>
      </c>
      <c r="M95" s="54"/>
    </row>
    <row r="96" spans="1:13" ht="17.25" customHeight="1" x14ac:dyDescent="0.25">
      <c r="A96" s="40"/>
      <c r="B96" s="47"/>
      <c r="C96" s="20">
        <v>88</v>
      </c>
      <c r="D96" s="21" t="s">
        <v>111</v>
      </c>
      <c r="E96" s="29" t="s">
        <v>16</v>
      </c>
      <c r="F96" s="23">
        <v>5.97</v>
      </c>
      <c r="G96" s="31">
        <v>115</v>
      </c>
      <c r="H96" s="23">
        <v>49.49</v>
      </c>
      <c r="I96" s="24"/>
      <c r="J96" s="23">
        <f t="shared" si="6"/>
        <v>170.46</v>
      </c>
      <c r="K96" s="25">
        <v>102090</v>
      </c>
      <c r="L96" s="25">
        <v>173</v>
      </c>
      <c r="M96" s="54"/>
    </row>
    <row r="97" spans="1:13" ht="17.25" customHeight="1" x14ac:dyDescent="0.25">
      <c r="A97" s="40"/>
      <c r="B97" s="47"/>
      <c r="C97" s="20">
        <v>89</v>
      </c>
      <c r="D97" s="21" t="s">
        <v>112</v>
      </c>
      <c r="E97" s="29" t="s">
        <v>16</v>
      </c>
      <c r="F97" s="23">
        <v>5.98</v>
      </c>
      <c r="G97" s="31">
        <v>432.55</v>
      </c>
      <c r="H97" s="23">
        <v>30.61</v>
      </c>
      <c r="I97" s="24"/>
      <c r="J97" s="23">
        <f t="shared" si="6"/>
        <v>469.14000000000004</v>
      </c>
      <c r="K97" s="25">
        <v>290374</v>
      </c>
      <c r="L97" s="25">
        <v>287</v>
      </c>
      <c r="M97" s="54"/>
    </row>
    <row r="98" spans="1:13" ht="17.25" customHeight="1" x14ac:dyDescent="0.25">
      <c r="A98" s="40"/>
      <c r="B98" s="47"/>
      <c r="C98" s="20">
        <v>90</v>
      </c>
      <c r="D98" s="21" t="s">
        <v>113</v>
      </c>
      <c r="E98" s="29" t="s">
        <v>16</v>
      </c>
      <c r="F98" s="23">
        <v>3.95</v>
      </c>
      <c r="G98" s="31">
        <v>65.02</v>
      </c>
      <c r="H98" s="23">
        <v>2</v>
      </c>
      <c r="I98" s="24"/>
      <c r="J98" s="23">
        <f t="shared" si="6"/>
        <v>70.97</v>
      </c>
      <c r="K98" s="25">
        <v>43000</v>
      </c>
      <c r="L98" s="25">
        <v>246</v>
      </c>
      <c r="M98" s="54"/>
    </row>
    <row r="99" spans="1:13" ht="17.25" customHeight="1" x14ac:dyDescent="0.25">
      <c r="A99" s="40"/>
      <c r="B99" s="47"/>
      <c r="C99" s="20">
        <v>91</v>
      </c>
      <c r="D99" s="62" t="s">
        <v>114</v>
      </c>
      <c r="E99" s="29" t="s">
        <v>16</v>
      </c>
      <c r="F99" s="23">
        <v>4.12</v>
      </c>
      <c r="G99" s="31">
        <v>127.73</v>
      </c>
      <c r="H99" s="23">
        <v>1.97</v>
      </c>
      <c r="I99" s="24"/>
      <c r="J99" s="23">
        <f t="shared" si="6"/>
        <v>133.82</v>
      </c>
      <c r="K99" s="25">
        <v>82230</v>
      </c>
      <c r="L99" s="25">
        <v>123</v>
      </c>
      <c r="M99" s="54"/>
    </row>
    <row r="100" spans="1:13" ht="17.25" customHeight="1" x14ac:dyDescent="0.25">
      <c r="A100" s="40"/>
      <c r="B100" s="47"/>
      <c r="C100" s="20">
        <v>92</v>
      </c>
      <c r="D100" s="21" t="s">
        <v>115</v>
      </c>
      <c r="E100" s="29" t="s">
        <v>16</v>
      </c>
      <c r="F100" s="23">
        <v>3.31</v>
      </c>
      <c r="G100" s="31">
        <v>223.8</v>
      </c>
      <c r="H100" s="23">
        <v>2.68</v>
      </c>
      <c r="I100" s="24"/>
      <c r="J100" s="23">
        <f t="shared" si="6"/>
        <v>229.79000000000002</v>
      </c>
      <c r="K100" s="25">
        <v>201187</v>
      </c>
      <c r="L100" s="25">
        <v>189</v>
      </c>
      <c r="M100" s="54"/>
    </row>
    <row r="101" spans="1:13" ht="17.25" customHeight="1" x14ac:dyDescent="0.25">
      <c r="A101" s="40"/>
      <c r="B101" s="47"/>
      <c r="C101" s="20">
        <v>93</v>
      </c>
      <c r="D101" s="21" t="s">
        <v>116</v>
      </c>
      <c r="E101" s="29" t="s">
        <v>16</v>
      </c>
      <c r="F101" s="23" t="s">
        <v>96</v>
      </c>
      <c r="G101" s="23">
        <v>87.34</v>
      </c>
      <c r="H101" s="23" t="s">
        <v>96</v>
      </c>
      <c r="I101" s="63"/>
      <c r="J101" s="23">
        <f t="shared" si="6"/>
        <v>87.34</v>
      </c>
      <c r="K101" s="25">
        <v>54876</v>
      </c>
      <c r="L101" s="25">
        <v>95</v>
      </c>
      <c r="M101" s="54"/>
    </row>
    <row r="102" spans="1:13" ht="17.25" customHeight="1" x14ac:dyDescent="0.25">
      <c r="A102" s="40"/>
      <c r="B102" s="47"/>
      <c r="C102" s="20">
        <v>94</v>
      </c>
      <c r="D102" s="21" t="s">
        <v>94</v>
      </c>
      <c r="E102" s="29" t="s">
        <v>16</v>
      </c>
      <c r="F102" s="23">
        <v>4.12</v>
      </c>
      <c r="G102" s="31">
        <v>70.150000000000006</v>
      </c>
      <c r="H102" s="23">
        <v>20.78</v>
      </c>
      <c r="I102" s="24"/>
      <c r="J102" s="23">
        <f t="shared" si="6"/>
        <v>95.050000000000011</v>
      </c>
      <c r="K102" s="25">
        <v>48870</v>
      </c>
      <c r="L102" s="25">
        <v>218</v>
      </c>
      <c r="M102" s="54"/>
    </row>
    <row r="103" spans="1:13" ht="17.25" customHeight="1" x14ac:dyDescent="0.25">
      <c r="A103" s="40"/>
      <c r="B103" s="47"/>
      <c r="C103" s="20">
        <v>95</v>
      </c>
      <c r="D103" s="21" t="s">
        <v>117</v>
      </c>
      <c r="E103" s="29" t="s">
        <v>16</v>
      </c>
      <c r="F103" s="23">
        <v>15.76</v>
      </c>
      <c r="G103" s="31">
        <v>51.6</v>
      </c>
      <c r="H103" s="23">
        <v>15.95</v>
      </c>
      <c r="I103" s="24"/>
      <c r="J103" s="23">
        <f t="shared" si="6"/>
        <v>83.31</v>
      </c>
      <c r="K103" s="25">
        <v>29854</v>
      </c>
      <c r="L103" s="25">
        <v>239</v>
      </c>
      <c r="M103" s="54"/>
    </row>
    <row r="104" spans="1:13" ht="17.25" customHeight="1" x14ac:dyDescent="0.25">
      <c r="A104" s="40"/>
      <c r="B104" s="47"/>
      <c r="C104" s="20">
        <v>96</v>
      </c>
      <c r="D104" s="21" t="s">
        <v>118</v>
      </c>
      <c r="E104" s="29" t="s">
        <v>16</v>
      </c>
      <c r="F104" s="23">
        <v>8.23</v>
      </c>
      <c r="G104" s="31">
        <v>139.44999999999999</v>
      </c>
      <c r="H104" s="23">
        <v>5.96</v>
      </c>
      <c r="I104" s="24"/>
      <c r="J104" s="23">
        <f t="shared" si="6"/>
        <v>153.63999999999999</v>
      </c>
      <c r="K104" s="25">
        <v>99108</v>
      </c>
      <c r="L104" s="25">
        <v>298</v>
      </c>
      <c r="M104" s="54"/>
    </row>
    <row r="105" spans="1:13" ht="17.25" customHeight="1" x14ac:dyDescent="0.25">
      <c r="A105" s="40"/>
      <c r="B105" s="47"/>
      <c r="C105" s="20">
        <v>97</v>
      </c>
      <c r="D105" s="21" t="s">
        <v>119</v>
      </c>
      <c r="E105" s="29" t="s">
        <v>16</v>
      </c>
      <c r="F105" s="23">
        <v>8.9499999999999993</v>
      </c>
      <c r="G105" s="31">
        <v>110.61</v>
      </c>
      <c r="H105" s="23">
        <v>13.19</v>
      </c>
      <c r="I105" s="24"/>
      <c r="J105" s="23">
        <f t="shared" si="6"/>
        <v>132.75</v>
      </c>
      <c r="K105" s="25">
        <v>84271</v>
      </c>
      <c r="L105" s="25">
        <v>185</v>
      </c>
      <c r="M105" s="54"/>
    </row>
    <row r="106" spans="1:13" ht="17.25" customHeight="1" x14ac:dyDescent="0.25">
      <c r="A106" s="40"/>
      <c r="B106" s="47"/>
      <c r="C106" s="20">
        <v>98</v>
      </c>
      <c r="D106" s="21" t="s">
        <v>120</v>
      </c>
      <c r="E106" s="29" t="s">
        <v>16</v>
      </c>
      <c r="F106" s="23">
        <v>4.21</v>
      </c>
      <c r="G106" s="31">
        <v>76.290000000000006</v>
      </c>
      <c r="H106" s="23">
        <v>6.18</v>
      </c>
      <c r="I106" s="24"/>
      <c r="J106" s="23">
        <f t="shared" si="6"/>
        <v>86.68</v>
      </c>
      <c r="K106" s="25">
        <v>66942</v>
      </c>
      <c r="L106" s="25">
        <v>177</v>
      </c>
      <c r="M106" s="54"/>
    </row>
    <row r="107" spans="1:13" ht="17.25" customHeight="1" x14ac:dyDescent="0.25">
      <c r="A107" s="2" t="s">
        <v>46</v>
      </c>
      <c r="B107" s="2"/>
      <c r="C107" s="2"/>
      <c r="D107" s="2"/>
      <c r="E107" s="33"/>
      <c r="F107" s="34">
        <f>SUM(F81:F106)</f>
        <v>170.64999999999998</v>
      </c>
      <c r="G107" s="34">
        <f>SUM(G81:G106)</f>
        <v>2822.7200000000003</v>
      </c>
      <c r="H107" s="34">
        <f>SUM(H81:H106)</f>
        <v>311.7</v>
      </c>
      <c r="I107" s="34"/>
      <c r="J107" s="35">
        <f>SUM(J81:J106)</f>
        <v>3305.07</v>
      </c>
      <c r="K107" s="36">
        <f>SUM(K81:K106)</f>
        <v>2034635</v>
      </c>
      <c r="L107" s="36">
        <f>SUM(L81:L106)</f>
        <v>4842</v>
      </c>
      <c r="M107" s="37"/>
    </row>
    <row r="108" spans="1:13" ht="17.25" customHeight="1" x14ac:dyDescent="0.25">
      <c r="A108" s="40" t="s">
        <v>121</v>
      </c>
      <c r="B108" s="47" t="s">
        <v>122</v>
      </c>
      <c r="C108" s="64">
        <v>99</v>
      </c>
      <c r="D108" s="65" t="s">
        <v>123</v>
      </c>
      <c r="E108" s="29" t="s">
        <v>16</v>
      </c>
      <c r="F108" s="66">
        <v>10.34</v>
      </c>
      <c r="G108" s="66">
        <v>19.96</v>
      </c>
      <c r="H108" s="66">
        <v>14.56</v>
      </c>
      <c r="I108" s="67"/>
      <c r="J108" s="68">
        <f>SUM(F108:H108)</f>
        <v>44.86</v>
      </c>
      <c r="K108" s="69">
        <v>11998</v>
      </c>
      <c r="L108" s="70">
        <v>15</v>
      </c>
      <c r="M108" s="54"/>
    </row>
    <row r="109" spans="1:13" ht="17.25" customHeight="1" x14ac:dyDescent="0.25">
      <c r="A109" s="40"/>
      <c r="B109" s="47"/>
      <c r="C109" s="71">
        <v>100</v>
      </c>
      <c r="D109" s="65" t="s">
        <v>124</v>
      </c>
      <c r="E109" s="29" t="s">
        <v>16</v>
      </c>
      <c r="F109" s="66">
        <v>10.029999999999999</v>
      </c>
      <c r="G109" s="66">
        <v>4.87</v>
      </c>
      <c r="H109" s="66">
        <v>0</v>
      </c>
      <c r="I109" s="67"/>
      <c r="J109" s="68">
        <f>SUM(F109:H109)</f>
        <v>14.899999999999999</v>
      </c>
      <c r="K109" s="69">
        <v>2845</v>
      </c>
      <c r="L109" s="70">
        <v>20</v>
      </c>
      <c r="M109" s="54"/>
    </row>
    <row r="110" spans="1:13" ht="17.25" customHeight="1" x14ac:dyDescent="0.25">
      <c r="A110" s="40"/>
      <c r="B110" s="47"/>
      <c r="C110" s="71">
        <v>101</v>
      </c>
      <c r="D110" s="65" t="s">
        <v>125</v>
      </c>
      <c r="E110" s="29" t="s">
        <v>16</v>
      </c>
      <c r="F110" s="66">
        <v>0</v>
      </c>
      <c r="G110" s="66">
        <v>49</v>
      </c>
      <c r="H110" s="66">
        <v>0</v>
      </c>
      <c r="I110" s="67"/>
      <c r="J110" s="68">
        <f>SUM(F110:H110)</f>
        <v>49</v>
      </c>
      <c r="K110" s="69">
        <v>29664</v>
      </c>
      <c r="L110" s="70">
        <v>97</v>
      </c>
      <c r="M110" s="54"/>
    </row>
    <row r="111" spans="1:13" ht="17.25" customHeight="1" x14ac:dyDescent="0.25">
      <c r="A111" s="40"/>
      <c r="B111" s="47"/>
      <c r="C111" s="71">
        <v>102</v>
      </c>
      <c r="D111" s="65" t="s">
        <v>126</v>
      </c>
      <c r="E111" s="29" t="s">
        <v>16</v>
      </c>
      <c r="F111" s="66">
        <v>4.49</v>
      </c>
      <c r="G111" s="66">
        <v>25.35</v>
      </c>
      <c r="H111" s="66">
        <v>6.01</v>
      </c>
      <c r="I111" s="67"/>
      <c r="J111" s="68">
        <f>SUM(F111:H111)</f>
        <v>35.85</v>
      </c>
      <c r="K111" s="69">
        <v>15228</v>
      </c>
      <c r="L111" s="70">
        <v>30</v>
      </c>
      <c r="M111" s="54"/>
    </row>
    <row r="112" spans="1:13" ht="17.25" customHeight="1" x14ac:dyDescent="0.25">
      <c r="A112" s="40"/>
      <c r="B112" s="47"/>
      <c r="C112" s="72">
        <v>103</v>
      </c>
      <c r="D112" s="65" t="s">
        <v>127</v>
      </c>
      <c r="E112" s="29" t="s">
        <v>16</v>
      </c>
      <c r="F112" s="66">
        <v>7.53</v>
      </c>
      <c r="G112" s="66">
        <v>3.52</v>
      </c>
      <c r="H112" s="66">
        <v>5.97</v>
      </c>
      <c r="I112" s="67"/>
      <c r="J112" s="68">
        <f>SUM(F112:H112)</f>
        <v>17.02</v>
      </c>
      <c r="K112" s="69">
        <v>2051</v>
      </c>
      <c r="L112" s="70">
        <v>24</v>
      </c>
      <c r="M112" s="54"/>
    </row>
    <row r="113" spans="1:13" ht="17.25" customHeight="1" x14ac:dyDescent="0.25">
      <c r="A113" s="2" t="s">
        <v>46</v>
      </c>
      <c r="B113" s="2"/>
      <c r="C113" s="2"/>
      <c r="D113" s="2"/>
      <c r="E113" s="33"/>
      <c r="F113" s="34">
        <f>SUM(F108:F112)</f>
        <v>32.39</v>
      </c>
      <c r="G113" s="34">
        <f>SUM(G108:G112)</f>
        <v>102.7</v>
      </c>
      <c r="H113" s="34">
        <v>28</v>
      </c>
      <c r="I113" s="34"/>
      <c r="J113" s="35">
        <f>SUM(J108:J112)</f>
        <v>161.63</v>
      </c>
      <c r="K113" s="36">
        <f>SUM(K108:K112)</f>
        <v>61786</v>
      </c>
      <c r="L113" s="36">
        <f>SUM(L108:L112)</f>
        <v>186</v>
      </c>
      <c r="M113" s="37"/>
    </row>
    <row r="114" spans="1:13" ht="17.25" customHeight="1" x14ac:dyDescent="0.25">
      <c r="A114" s="40" t="s">
        <v>128</v>
      </c>
      <c r="B114" s="41" t="s">
        <v>129</v>
      </c>
      <c r="C114" s="20">
        <v>104</v>
      </c>
      <c r="D114" s="73" t="s">
        <v>130</v>
      </c>
      <c r="E114" s="29" t="s">
        <v>16</v>
      </c>
      <c r="F114" s="23">
        <v>0</v>
      </c>
      <c r="G114" s="23">
        <v>147.38</v>
      </c>
      <c r="H114" s="23">
        <v>0</v>
      </c>
      <c r="I114" s="43"/>
      <c r="J114" s="23">
        <f t="shared" ref="J114:J153" si="7">SUM(F114:H114)</f>
        <v>147.38</v>
      </c>
      <c r="K114" s="69">
        <v>115013</v>
      </c>
      <c r="L114" s="25">
        <v>202</v>
      </c>
      <c r="M114" s="54"/>
    </row>
    <row r="115" spans="1:13" ht="17.25" customHeight="1" x14ac:dyDescent="0.25">
      <c r="A115" s="40"/>
      <c r="B115" s="47"/>
      <c r="C115" s="20">
        <v>105</v>
      </c>
      <c r="D115" s="21" t="s">
        <v>131</v>
      </c>
      <c r="E115" s="29" t="s">
        <v>16</v>
      </c>
      <c r="F115" s="23">
        <v>0</v>
      </c>
      <c r="G115" s="23">
        <v>39.590000000000003</v>
      </c>
      <c r="H115" s="23">
        <v>0</v>
      </c>
      <c r="I115" s="43"/>
      <c r="J115" s="23">
        <f t="shared" si="7"/>
        <v>39.590000000000003</v>
      </c>
      <c r="K115" s="69">
        <v>31407</v>
      </c>
      <c r="L115" s="25">
        <v>44</v>
      </c>
      <c r="M115" s="54"/>
    </row>
    <row r="116" spans="1:13" ht="17.25" customHeight="1" x14ac:dyDescent="0.25">
      <c r="A116" s="40"/>
      <c r="B116" s="47"/>
      <c r="C116" s="20">
        <v>106</v>
      </c>
      <c r="D116" s="21" t="s">
        <v>132</v>
      </c>
      <c r="E116" s="29" t="s">
        <v>16</v>
      </c>
      <c r="F116" s="23">
        <v>0</v>
      </c>
      <c r="G116" s="23">
        <v>103.45</v>
      </c>
      <c r="H116" s="23">
        <v>0</v>
      </c>
      <c r="I116" s="43"/>
      <c r="J116" s="23">
        <f t="shared" si="7"/>
        <v>103.45</v>
      </c>
      <c r="K116" s="69">
        <v>80822</v>
      </c>
      <c r="L116" s="25">
        <v>287</v>
      </c>
      <c r="M116" s="54"/>
    </row>
    <row r="117" spans="1:13" ht="17.25" customHeight="1" x14ac:dyDescent="0.25">
      <c r="A117" s="40"/>
      <c r="B117" s="47"/>
      <c r="C117" s="20">
        <v>107</v>
      </c>
      <c r="D117" s="21" t="s">
        <v>133</v>
      </c>
      <c r="E117" s="29" t="s">
        <v>16</v>
      </c>
      <c r="F117" s="23">
        <v>0</v>
      </c>
      <c r="G117" s="23">
        <v>10.27</v>
      </c>
      <c r="H117" s="23">
        <v>0</v>
      </c>
      <c r="I117" s="43"/>
      <c r="J117" s="23">
        <f t="shared" si="7"/>
        <v>10.27</v>
      </c>
      <c r="K117" s="69">
        <v>8139</v>
      </c>
      <c r="L117" s="25">
        <v>9</v>
      </c>
      <c r="M117" s="54"/>
    </row>
    <row r="118" spans="1:13" ht="17.25" customHeight="1" x14ac:dyDescent="0.25">
      <c r="A118" s="40"/>
      <c r="B118" s="47"/>
      <c r="C118" s="20">
        <v>108</v>
      </c>
      <c r="D118" s="21" t="s">
        <v>134</v>
      </c>
      <c r="E118" s="29" t="s">
        <v>16</v>
      </c>
      <c r="F118" s="23">
        <v>9.2899999999999991</v>
      </c>
      <c r="G118" s="23">
        <v>123.82</v>
      </c>
      <c r="H118" s="23">
        <v>5.47</v>
      </c>
      <c r="I118" s="43"/>
      <c r="J118" s="23">
        <f t="shared" si="7"/>
        <v>138.57999999999998</v>
      </c>
      <c r="K118" s="69">
        <v>97926</v>
      </c>
      <c r="L118" s="25">
        <v>252</v>
      </c>
      <c r="M118" s="54"/>
    </row>
    <row r="119" spans="1:13" ht="17.25" customHeight="1" x14ac:dyDescent="0.25">
      <c r="A119" s="40"/>
      <c r="B119" s="47"/>
      <c r="C119" s="20">
        <v>109</v>
      </c>
      <c r="D119" s="21" t="s">
        <v>135</v>
      </c>
      <c r="E119" s="29" t="s">
        <v>16</v>
      </c>
      <c r="F119" s="23">
        <v>0</v>
      </c>
      <c r="G119" s="23">
        <v>163.18</v>
      </c>
      <c r="H119" s="23">
        <v>0</v>
      </c>
      <c r="I119" s="43"/>
      <c r="J119" s="23">
        <f t="shared" si="7"/>
        <v>163.18</v>
      </c>
      <c r="K119" s="69">
        <v>127940</v>
      </c>
      <c r="L119" s="25">
        <v>217</v>
      </c>
      <c r="M119" s="54"/>
    </row>
    <row r="120" spans="1:13" ht="17.25" customHeight="1" x14ac:dyDescent="0.25">
      <c r="A120" s="40"/>
      <c r="B120" s="47"/>
      <c r="C120" s="20">
        <v>110</v>
      </c>
      <c r="D120" s="21" t="s">
        <v>136</v>
      </c>
      <c r="E120" s="29" t="s">
        <v>16</v>
      </c>
      <c r="F120" s="23">
        <v>0</v>
      </c>
      <c r="G120" s="23">
        <v>34.11</v>
      </c>
      <c r="H120" s="23">
        <v>0</v>
      </c>
      <c r="I120" s="43"/>
      <c r="J120" s="23">
        <f t="shared" si="7"/>
        <v>34.11</v>
      </c>
      <c r="K120" s="69">
        <v>26326</v>
      </c>
      <c r="L120" s="25">
        <v>192</v>
      </c>
      <c r="M120" s="54"/>
    </row>
    <row r="121" spans="1:13" ht="17.25" customHeight="1" x14ac:dyDescent="0.25">
      <c r="A121" s="40"/>
      <c r="B121" s="47"/>
      <c r="C121" s="20">
        <v>111</v>
      </c>
      <c r="D121" s="21" t="s">
        <v>137</v>
      </c>
      <c r="E121" s="29" t="s">
        <v>16</v>
      </c>
      <c r="F121" s="23">
        <v>0</v>
      </c>
      <c r="G121" s="23">
        <v>21.66</v>
      </c>
      <c r="H121" s="23">
        <v>0</v>
      </c>
      <c r="I121" s="43"/>
      <c r="J121" s="23">
        <f t="shared" si="7"/>
        <v>21.66</v>
      </c>
      <c r="K121" s="69">
        <v>16808</v>
      </c>
      <c r="L121" s="25">
        <v>46</v>
      </c>
      <c r="M121" s="54"/>
    </row>
    <row r="122" spans="1:13" ht="17.25" customHeight="1" x14ac:dyDescent="0.25">
      <c r="A122" s="40"/>
      <c r="B122" s="47"/>
      <c r="C122" s="20">
        <v>112</v>
      </c>
      <c r="D122" s="21" t="s">
        <v>138</v>
      </c>
      <c r="E122" s="29" t="s">
        <v>16</v>
      </c>
      <c r="F122" s="23">
        <v>0</v>
      </c>
      <c r="G122" s="23">
        <v>33.880000000000003</v>
      </c>
      <c r="H122" s="23">
        <v>0</v>
      </c>
      <c r="I122" s="43"/>
      <c r="J122" s="23">
        <f t="shared" si="7"/>
        <v>33.880000000000003</v>
      </c>
      <c r="K122" s="69">
        <v>26429</v>
      </c>
      <c r="L122" s="25">
        <v>82</v>
      </c>
      <c r="M122" s="54"/>
    </row>
    <row r="123" spans="1:13" ht="17.25" customHeight="1" x14ac:dyDescent="0.25">
      <c r="A123" s="40"/>
      <c r="B123" s="47"/>
      <c r="C123" s="20">
        <v>113</v>
      </c>
      <c r="D123" s="21" t="s">
        <v>139</v>
      </c>
      <c r="E123" s="29" t="s">
        <v>16</v>
      </c>
      <c r="F123" s="23">
        <v>6.6</v>
      </c>
      <c r="G123" s="23">
        <v>31.37</v>
      </c>
      <c r="H123" s="23">
        <v>47.6</v>
      </c>
      <c r="I123" s="43"/>
      <c r="J123" s="23">
        <f t="shared" si="7"/>
        <v>85.57</v>
      </c>
      <c r="K123" s="69">
        <v>24788</v>
      </c>
      <c r="L123" s="25">
        <v>179</v>
      </c>
      <c r="M123" s="54"/>
    </row>
    <row r="124" spans="1:13" ht="17.25" customHeight="1" x14ac:dyDescent="0.25">
      <c r="A124" s="40"/>
      <c r="B124" s="47"/>
      <c r="C124" s="20">
        <v>114</v>
      </c>
      <c r="D124" s="21" t="s">
        <v>140</v>
      </c>
      <c r="E124" s="29" t="s">
        <v>16</v>
      </c>
      <c r="F124" s="23">
        <v>5.57</v>
      </c>
      <c r="G124" s="23">
        <v>81.430000000000007</v>
      </c>
      <c r="H124" s="23">
        <v>3.99</v>
      </c>
      <c r="I124" s="43"/>
      <c r="J124" s="23">
        <f t="shared" si="7"/>
        <v>90.99</v>
      </c>
      <c r="K124" s="69">
        <v>65250</v>
      </c>
      <c r="L124" s="25">
        <v>219</v>
      </c>
      <c r="M124" s="54"/>
    </row>
    <row r="125" spans="1:13" ht="17.25" customHeight="1" x14ac:dyDescent="0.25">
      <c r="A125" s="40"/>
      <c r="B125" s="47"/>
      <c r="C125" s="20">
        <v>115</v>
      </c>
      <c r="D125" s="21" t="s">
        <v>141</v>
      </c>
      <c r="E125" s="29" t="s">
        <v>16</v>
      </c>
      <c r="F125" s="23">
        <v>0</v>
      </c>
      <c r="G125" s="23">
        <v>142.52000000000001</v>
      </c>
      <c r="H125" s="23">
        <v>0</v>
      </c>
      <c r="I125" s="43"/>
      <c r="J125" s="23">
        <f t="shared" si="7"/>
        <v>142.52000000000001</v>
      </c>
      <c r="K125" s="69">
        <v>109739</v>
      </c>
      <c r="L125" s="25">
        <v>209</v>
      </c>
      <c r="M125" s="54"/>
    </row>
    <row r="126" spans="1:13" ht="17.25" customHeight="1" x14ac:dyDescent="0.25">
      <c r="A126" s="40"/>
      <c r="B126" s="47"/>
      <c r="C126" s="20">
        <v>116</v>
      </c>
      <c r="D126" s="21" t="s">
        <v>142</v>
      </c>
      <c r="E126" s="29" t="s">
        <v>16</v>
      </c>
      <c r="F126" s="23">
        <v>0</v>
      </c>
      <c r="G126" s="23">
        <v>40.049999999999997</v>
      </c>
      <c r="H126" s="23">
        <v>0</v>
      </c>
      <c r="I126" s="43"/>
      <c r="J126" s="23">
        <f t="shared" si="7"/>
        <v>40.049999999999997</v>
      </c>
      <c r="K126" s="69">
        <v>31626</v>
      </c>
      <c r="L126" s="25">
        <v>72</v>
      </c>
      <c r="M126" s="54"/>
    </row>
    <row r="127" spans="1:13" ht="17.25" customHeight="1" x14ac:dyDescent="0.25">
      <c r="A127" s="40"/>
      <c r="B127" s="47"/>
      <c r="C127" s="20">
        <v>117</v>
      </c>
      <c r="D127" s="21" t="s">
        <v>143</v>
      </c>
      <c r="E127" s="29" t="s">
        <v>16</v>
      </c>
      <c r="F127" s="23">
        <v>0</v>
      </c>
      <c r="G127" s="74">
        <v>200.74</v>
      </c>
      <c r="H127" s="23">
        <v>0</v>
      </c>
      <c r="I127" s="43"/>
      <c r="J127" s="23">
        <f t="shared" si="7"/>
        <v>200.74</v>
      </c>
      <c r="K127" s="69">
        <v>154569</v>
      </c>
      <c r="L127" s="25">
        <v>239</v>
      </c>
      <c r="M127" s="54"/>
    </row>
    <row r="128" spans="1:13" ht="17.25" customHeight="1" x14ac:dyDescent="0.25">
      <c r="A128" s="40"/>
      <c r="B128" s="47"/>
      <c r="C128" s="75">
        <v>118</v>
      </c>
      <c r="D128" s="62" t="s">
        <v>144</v>
      </c>
      <c r="E128" s="29" t="s">
        <v>16</v>
      </c>
      <c r="F128" s="31">
        <v>2.21</v>
      </c>
      <c r="G128" s="76">
        <v>16.420000000000002</v>
      </c>
      <c r="H128" s="31">
        <v>2.73</v>
      </c>
      <c r="I128" s="77"/>
      <c r="J128" s="31">
        <f t="shared" si="7"/>
        <v>21.360000000000003</v>
      </c>
      <c r="K128" s="78">
        <v>13166</v>
      </c>
      <c r="L128" s="25">
        <v>90</v>
      </c>
      <c r="M128" s="54"/>
    </row>
    <row r="129" spans="1:13" ht="17.25" customHeight="1" x14ac:dyDescent="0.25">
      <c r="A129" s="40"/>
      <c r="B129" s="47"/>
      <c r="C129" s="75">
        <v>119</v>
      </c>
      <c r="D129" s="62" t="s">
        <v>145</v>
      </c>
      <c r="E129" s="29" t="s">
        <v>16</v>
      </c>
      <c r="F129" s="31">
        <v>0</v>
      </c>
      <c r="G129" s="76">
        <v>4850.16</v>
      </c>
      <c r="H129" s="31">
        <v>0</v>
      </c>
      <c r="I129" s="77"/>
      <c r="J129" s="31">
        <f t="shared" si="7"/>
        <v>4850.16</v>
      </c>
      <c r="K129" s="78">
        <v>3841965</v>
      </c>
      <c r="L129" s="25">
        <v>388</v>
      </c>
      <c r="M129" s="54"/>
    </row>
    <row r="130" spans="1:13" ht="17.25" customHeight="1" x14ac:dyDescent="0.25">
      <c r="A130" s="40"/>
      <c r="B130" s="47"/>
      <c r="C130" s="75">
        <v>120</v>
      </c>
      <c r="D130" s="62" t="s">
        <v>146</v>
      </c>
      <c r="E130" s="29" t="s">
        <v>16</v>
      </c>
      <c r="F130" s="31">
        <v>0</v>
      </c>
      <c r="G130" s="76">
        <v>19.34</v>
      </c>
      <c r="H130" s="31">
        <v>0</v>
      </c>
      <c r="I130" s="77"/>
      <c r="J130" s="31">
        <f t="shared" si="7"/>
        <v>19.34</v>
      </c>
      <c r="K130" s="78">
        <v>15319</v>
      </c>
      <c r="L130" s="25">
        <v>134</v>
      </c>
      <c r="M130" s="54"/>
    </row>
    <row r="131" spans="1:13" ht="17.25" customHeight="1" x14ac:dyDescent="0.25">
      <c r="A131" s="40"/>
      <c r="B131" s="47"/>
      <c r="C131" s="75">
        <v>121</v>
      </c>
      <c r="D131" s="62" t="s">
        <v>147</v>
      </c>
      <c r="E131" s="29" t="s">
        <v>16</v>
      </c>
      <c r="F131" s="31">
        <v>6.74</v>
      </c>
      <c r="G131" s="76">
        <v>201.3</v>
      </c>
      <c r="H131" s="31">
        <v>3.97</v>
      </c>
      <c r="I131" s="77"/>
      <c r="J131" s="31">
        <f t="shared" si="7"/>
        <v>212.01000000000002</v>
      </c>
      <c r="K131" s="78">
        <v>154822</v>
      </c>
      <c r="L131" s="25">
        <v>251</v>
      </c>
      <c r="M131" s="54"/>
    </row>
    <row r="132" spans="1:13" ht="17.25" customHeight="1" x14ac:dyDescent="0.25">
      <c r="A132" s="40"/>
      <c r="B132" s="47"/>
      <c r="C132" s="20">
        <v>122</v>
      </c>
      <c r="D132" s="21" t="s">
        <v>148</v>
      </c>
      <c r="E132" s="29" t="s">
        <v>16</v>
      </c>
      <c r="F132" s="23">
        <v>0</v>
      </c>
      <c r="G132" s="74">
        <v>26.85</v>
      </c>
      <c r="H132" s="23">
        <v>0</v>
      </c>
      <c r="I132" s="43"/>
      <c r="J132" s="23">
        <f t="shared" si="7"/>
        <v>26.85</v>
      </c>
      <c r="K132" s="69">
        <v>20765</v>
      </c>
      <c r="L132" s="25">
        <v>38</v>
      </c>
      <c r="M132" s="54"/>
    </row>
    <row r="133" spans="1:13" ht="17.25" customHeight="1" x14ac:dyDescent="0.25">
      <c r="A133" s="40"/>
      <c r="B133" s="47"/>
      <c r="C133" s="20">
        <v>123</v>
      </c>
      <c r="D133" s="21" t="s">
        <v>149</v>
      </c>
      <c r="E133" s="29" t="s">
        <v>16</v>
      </c>
      <c r="F133" s="23">
        <v>0</v>
      </c>
      <c r="G133" s="74">
        <v>61.03</v>
      </c>
      <c r="H133" s="23">
        <v>0</v>
      </c>
      <c r="I133" s="43"/>
      <c r="J133" s="23">
        <f t="shared" si="7"/>
        <v>61.03</v>
      </c>
      <c r="K133" s="69">
        <v>49186</v>
      </c>
      <c r="L133" s="25">
        <v>159</v>
      </c>
      <c r="M133" s="54"/>
    </row>
    <row r="134" spans="1:13" ht="17.25" customHeight="1" x14ac:dyDescent="0.25">
      <c r="A134" s="40"/>
      <c r="B134" s="47"/>
      <c r="C134" s="20">
        <v>124</v>
      </c>
      <c r="D134" s="21" t="s">
        <v>150</v>
      </c>
      <c r="E134" s="29" t="s">
        <v>16</v>
      </c>
      <c r="F134" s="23">
        <v>0</v>
      </c>
      <c r="G134" s="74">
        <v>99.3</v>
      </c>
      <c r="H134" s="23">
        <v>0</v>
      </c>
      <c r="I134" s="43"/>
      <c r="J134" s="23">
        <f t="shared" si="7"/>
        <v>99.3</v>
      </c>
      <c r="K134" s="69">
        <v>76969</v>
      </c>
      <c r="L134" s="25">
        <v>159</v>
      </c>
      <c r="M134" s="54"/>
    </row>
    <row r="135" spans="1:13" ht="17.25" customHeight="1" x14ac:dyDescent="0.25">
      <c r="A135" s="40"/>
      <c r="B135" s="47"/>
      <c r="C135" s="20">
        <v>125</v>
      </c>
      <c r="D135" s="21" t="s">
        <v>151</v>
      </c>
      <c r="E135" s="29" t="s">
        <v>16</v>
      </c>
      <c r="F135" s="23">
        <v>0</v>
      </c>
      <c r="G135" s="74">
        <v>71.78</v>
      </c>
      <c r="H135" s="23">
        <v>0</v>
      </c>
      <c r="I135" s="43"/>
      <c r="J135" s="23">
        <f t="shared" si="7"/>
        <v>71.78</v>
      </c>
      <c r="K135" s="69">
        <v>57096</v>
      </c>
      <c r="L135" s="25">
        <v>109</v>
      </c>
      <c r="M135" s="54"/>
    </row>
    <row r="136" spans="1:13" ht="17.25" customHeight="1" x14ac:dyDescent="0.25">
      <c r="A136" s="40"/>
      <c r="B136" s="47"/>
      <c r="C136" s="20">
        <v>126</v>
      </c>
      <c r="D136" s="21" t="s">
        <v>152</v>
      </c>
      <c r="E136" s="29" t="s">
        <v>16</v>
      </c>
      <c r="F136" s="23">
        <v>0</v>
      </c>
      <c r="G136" s="74">
        <v>66.55</v>
      </c>
      <c r="H136" s="23">
        <v>0</v>
      </c>
      <c r="I136" s="43"/>
      <c r="J136" s="23">
        <f t="shared" si="7"/>
        <v>66.55</v>
      </c>
      <c r="K136" s="69">
        <v>52882</v>
      </c>
      <c r="L136" s="25">
        <v>241</v>
      </c>
      <c r="M136" s="54"/>
    </row>
    <row r="137" spans="1:13" ht="17.25" customHeight="1" x14ac:dyDescent="0.25">
      <c r="A137" s="40"/>
      <c r="B137" s="47"/>
      <c r="C137" s="20">
        <v>127</v>
      </c>
      <c r="D137" s="62" t="s">
        <v>153</v>
      </c>
      <c r="E137" s="29" t="s">
        <v>16</v>
      </c>
      <c r="F137" s="31">
        <v>68.349999999999994</v>
      </c>
      <c r="G137" s="76">
        <v>794.69</v>
      </c>
      <c r="H137" s="31">
        <v>66.989999999999995</v>
      </c>
      <c r="I137" s="77"/>
      <c r="J137" s="31">
        <f t="shared" si="7"/>
        <v>930.03000000000009</v>
      </c>
      <c r="K137" s="78">
        <v>613456</v>
      </c>
      <c r="L137" s="25">
        <v>198</v>
      </c>
      <c r="M137" s="54"/>
    </row>
    <row r="138" spans="1:13" ht="17.25" customHeight="1" x14ac:dyDescent="0.25">
      <c r="A138" s="40"/>
      <c r="B138" s="47"/>
      <c r="C138" s="20">
        <v>128</v>
      </c>
      <c r="D138" s="21" t="s">
        <v>154</v>
      </c>
      <c r="E138" s="29" t="s">
        <v>16</v>
      </c>
      <c r="F138" s="23">
        <v>0</v>
      </c>
      <c r="G138" s="74">
        <v>108.52</v>
      </c>
      <c r="H138" s="23">
        <v>0</v>
      </c>
      <c r="I138" s="43"/>
      <c r="J138" s="23">
        <f t="shared" si="7"/>
        <v>108.52</v>
      </c>
      <c r="K138" s="69">
        <v>85705</v>
      </c>
      <c r="L138" s="25">
        <v>214</v>
      </c>
      <c r="M138" s="54"/>
    </row>
    <row r="139" spans="1:13" ht="17.25" customHeight="1" x14ac:dyDescent="0.25">
      <c r="A139" s="40"/>
      <c r="B139" s="47"/>
      <c r="C139" s="20">
        <v>129</v>
      </c>
      <c r="D139" s="21" t="s">
        <v>155</v>
      </c>
      <c r="E139" s="29" t="s">
        <v>16</v>
      </c>
      <c r="F139" s="23">
        <v>0</v>
      </c>
      <c r="G139" s="74">
        <v>102.26</v>
      </c>
      <c r="H139" s="23">
        <v>0</v>
      </c>
      <c r="I139" s="43"/>
      <c r="J139" s="23">
        <f t="shared" si="7"/>
        <v>102.26</v>
      </c>
      <c r="K139" s="69">
        <v>82282</v>
      </c>
      <c r="L139" s="25">
        <v>161</v>
      </c>
      <c r="M139" s="54"/>
    </row>
    <row r="140" spans="1:13" ht="17.25" customHeight="1" x14ac:dyDescent="0.25">
      <c r="A140" s="40"/>
      <c r="B140" s="47"/>
      <c r="C140" s="20">
        <v>130</v>
      </c>
      <c r="D140" s="21" t="s">
        <v>156</v>
      </c>
      <c r="E140" s="29" t="s">
        <v>16</v>
      </c>
      <c r="F140" s="23">
        <v>0</v>
      </c>
      <c r="G140" s="74">
        <v>331.26</v>
      </c>
      <c r="H140" s="23">
        <v>0</v>
      </c>
      <c r="I140" s="43"/>
      <c r="J140" s="23">
        <f t="shared" si="7"/>
        <v>331.26</v>
      </c>
      <c r="K140" s="69">
        <v>267321</v>
      </c>
      <c r="L140" s="25">
        <v>132</v>
      </c>
      <c r="M140" s="54"/>
    </row>
    <row r="141" spans="1:13" ht="17.25" customHeight="1" x14ac:dyDescent="0.25">
      <c r="A141" s="40"/>
      <c r="B141" s="47"/>
      <c r="C141" s="20">
        <v>131</v>
      </c>
      <c r="D141" s="21" t="s">
        <v>157</v>
      </c>
      <c r="E141" s="29" t="s">
        <v>16</v>
      </c>
      <c r="F141" s="23">
        <v>12.98</v>
      </c>
      <c r="G141" s="74">
        <v>56.6</v>
      </c>
      <c r="H141" s="23">
        <v>16.47</v>
      </c>
      <c r="I141" s="43"/>
      <c r="J141" s="23">
        <f t="shared" si="7"/>
        <v>86.05</v>
      </c>
      <c r="K141" s="69">
        <v>44306</v>
      </c>
      <c r="L141" s="25">
        <v>62</v>
      </c>
      <c r="M141" s="54"/>
    </row>
    <row r="142" spans="1:13" ht="17.25" customHeight="1" x14ac:dyDescent="0.25">
      <c r="A142" s="40"/>
      <c r="B142" s="47"/>
      <c r="C142" s="20">
        <v>132</v>
      </c>
      <c r="D142" s="21" t="s">
        <v>158</v>
      </c>
      <c r="E142" s="29" t="s">
        <v>16</v>
      </c>
      <c r="F142" s="23">
        <v>1.06</v>
      </c>
      <c r="G142" s="74">
        <v>81.22</v>
      </c>
      <c r="H142" s="23">
        <v>0</v>
      </c>
      <c r="I142" s="43"/>
      <c r="J142" s="23">
        <f t="shared" si="7"/>
        <v>82.28</v>
      </c>
      <c r="K142" s="69">
        <v>64527</v>
      </c>
      <c r="L142" s="25">
        <v>134</v>
      </c>
      <c r="M142" s="54"/>
    </row>
    <row r="143" spans="1:13" ht="17.25" customHeight="1" x14ac:dyDescent="0.25">
      <c r="A143" s="40"/>
      <c r="B143" s="47"/>
      <c r="C143" s="20">
        <v>133</v>
      </c>
      <c r="D143" s="21" t="s">
        <v>159</v>
      </c>
      <c r="E143" s="29" t="s">
        <v>16</v>
      </c>
      <c r="F143" s="23">
        <v>0</v>
      </c>
      <c r="G143" s="74">
        <v>55.7</v>
      </c>
      <c r="H143" s="23">
        <v>0</v>
      </c>
      <c r="I143" s="43"/>
      <c r="J143" s="23">
        <f t="shared" si="7"/>
        <v>55.7</v>
      </c>
      <c r="K143" s="69">
        <v>43689</v>
      </c>
      <c r="L143" s="25">
        <v>87</v>
      </c>
      <c r="M143" s="54"/>
    </row>
    <row r="144" spans="1:13" ht="17.25" customHeight="1" x14ac:dyDescent="0.25">
      <c r="A144" s="40"/>
      <c r="B144" s="47"/>
      <c r="C144" s="20">
        <v>134</v>
      </c>
      <c r="D144" s="21" t="s">
        <v>160</v>
      </c>
      <c r="E144" s="29" t="s">
        <v>16</v>
      </c>
      <c r="F144" s="23">
        <v>0</v>
      </c>
      <c r="G144" s="74">
        <v>43.75</v>
      </c>
      <c r="H144" s="23">
        <v>0</v>
      </c>
      <c r="I144" s="43"/>
      <c r="J144" s="23">
        <f t="shared" si="7"/>
        <v>43.75</v>
      </c>
      <c r="K144" s="69">
        <v>35305</v>
      </c>
      <c r="L144" s="25">
        <v>108</v>
      </c>
      <c r="M144" s="54"/>
    </row>
    <row r="145" spans="1:13" ht="17.25" customHeight="1" x14ac:dyDescent="0.25">
      <c r="A145" s="40"/>
      <c r="B145" s="47"/>
      <c r="C145" s="20">
        <v>135</v>
      </c>
      <c r="D145" s="21" t="s">
        <v>161</v>
      </c>
      <c r="E145" s="29" t="s">
        <v>16</v>
      </c>
      <c r="F145" s="23">
        <v>0</v>
      </c>
      <c r="G145" s="74">
        <v>75.930000000000007</v>
      </c>
      <c r="H145" s="23">
        <v>0</v>
      </c>
      <c r="I145" s="43"/>
      <c r="J145" s="23">
        <f t="shared" si="7"/>
        <v>75.930000000000007</v>
      </c>
      <c r="K145" s="69">
        <v>60316</v>
      </c>
      <c r="L145" s="25">
        <v>220</v>
      </c>
      <c r="M145" s="54"/>
    </row>
    <row r="146" spans="1:13" ht="17.25" customHeight="1" x14ac:dyDescent="0.25">
      <c r="A146" s="40"/>
      <c r="B146" s="47"/>
      <c r="C146" s="20">
        <v>136</v>
      </c>
      <c r="D146" s="21" t="s">
        <v>162</v>
      </c>
      <c r="E146" s="29" t="s">
        <v>16</v>
      </c>
      <c r="F146" s="23">
        <v>0</v>
      </c>
      <c r="G146" s="74">
        <v>33.61</v>
      </c>
      <c r="H146" s="23">
        <v>0</v>
      </c>
      <c r="I146" s="43"/>
      <c r="J146" s="23">
        <f t="shared" si="7"/>
        <v>33.61</v>
      </c>
      <c r="K146" s="69">
        <v>26548</v>
      </c>
      <c r="L146" s="25">
        <v>72</v>
      </c>
      <c r="M146" s="54"/>
    </row>
    <row r="147" spans="1:13" ht="17.25" customHeight="1" x14ac:dyDescent="0.25">
      <c r="A147" s="40"/>
      <c r="B147" s="47"/>
      <c r="C147" s="20">
        <v>137</v>
      </c>
      <c r="D147" s="21" t="s">
        <v>163</v>
      </c>
      <c r="E147" s="29" t="s">
        <v>16</v>
      </c>
      <c r="F147" s="23">
        <v>0</v>
      </c>
      <c r="G147" s="74">
        <v>24.48</v>
      </c>
      <c r="H147" s="23">
        <v>0</v>
      </c>
      <c r="I147" s="43"/>
      <c r="J147" s="23">
        <f t="shared" si="7"/>
        <v>24.48</v>
      </c>
      <c r="K147" s="69">
        <v>19205</v>
      </c>
      <c r="L147" s="25">
        <v>31</v>
      </c>
      <c r="M147" s="54"/>
    </row>
    <row r="148" spans="1:13" ht="17.25" customHeight="1" x14ac:dyDescent="0.25">
      <c r="A148" s="40"/>
      <c r="B148" s="47"/>
      <c r="C148" s="20">
        <v>138</v>
      </c>
      <c r="D148" s="21" t="s">
        <v>164</v>
      </c>
      <c r="E148" s="29" t="s">
        <v>16</v>
      </c>
      <c r="F148" s="23">
        <v>1.5</v>
      </c>
      <c r="G148" s="74">
        <v>13.14</v>
      </c>
      <c r="H148" s="23">
        <v>2.95</v>
      </c>
      <c r="I148" s="43"/>
      <c r="J148" s="23">
        <f t="shared" si="7"/>
        <v>17.59</v>
      </c>
      <c r="K148" s="69">
        <v>10529</v>
      </c>
      <c r="L148" s="25">
        <v>21</v>
      </c>
      <c r="M148" s="54"/>
    </row>
    <row r="149" spans="1:13" ht="17.25" customHeight="1" x14ac:dyDescent="0.25">
      <c r="A149" s="40"/>
      <c r="B149" s="47"/>
      <c r="C149" s="20">
        <v>139</v>
      </c>
      <c r="D149" s="21" t="s">
        <v>165</v>
      </c>
      <c r="E149" s="29" t="s">
        <v>16</v>
      </c>
      <c r="F149" s="23">
        <v>0</v>
      </c>
      <c r="G149" s="74">
        <v>117.95</v>
      </c>
      <c r="H149" s="23">
        <v>0</v>
      </c>
      <c r="I149" s="43"/>
      <c r="J149" s="23">
        <f t="shared" si="7"/>
        <v>117.95</v>
      </c>
      <c r="K149" s="69">
        <v>91683</v>
      </c>
      <c r="L149" s="25">
        <v>253</v>
      </c>
      <c r="M149" s="54"/>
    </row>
    <row r="150" spans="1:13" ht="17.25" customHeight="1" x14ac:dyDescent="0.25">
      <c r="A150" s="40"/>
      <c r="B150" s="47"/>
      <c r="C150" s="20">
        <v>140</v>
      </c>
      <c r="D150" s="21" t="s">
        <v>166</v>
      </c>
      <c r="E150" s="29" t="s">
        <v>16</v>
      </c>
      <c r="F150" s="23">
        <v>0</v>
      </c>
      <c r="G150" s="74">
        <v>3.42</v>
      </c>
      <c r="H150" s="23">
        <v>0</v>
      </c>
      <c r="I150" s="43"/>
      <c r="J150" s="23">
        <f t="shared" si="7"/>
        <v>3.42</v>
      </c>
      <c r="K150" s="69">
        <v>2668</v>
      </c>
      <c r="L150" s="25">
        <v>10</v>
      </c>
      <c r="M150" s="54"/>
    </row>
    <row r="151" spans="1:13" ht="17.25" customHeight="1" x14ac:dyDescent="0.25">
      <c r="A151" s="40"/>
      <c r="B151" s="47"/>
      <c r="C151" s="20">
        <v>141</v>
      </c>
      <c r="D151" s="21" t="s">
        <v>167</v>
      </c>
      <c r="E151" s="29" t="s">
        <v>16</v>
      </c>
      <c r="F151" s="23">
        <v>0</v>
      </c>
      <c r="G151" s="74">
        <v>0</v>
      </c>
      <c r="H151" s="23">
        <v>0</v>
      </c>
      <c r="I151" s="43"/>
      <c r="J151" s="23">
        <f t="shared" si="7"/>
        <v>0</v>
      </c>
      <c r="K151" s="69">
        <v>0</v>
      </c>
      <c r="L151" s="25"/>
      <c r="M151" s="54"/>
    </row>
    <row r="152" spans="1:13" ht="17.25" customHeight="1" x14ac:dyDescent="0.25">
      <c r="A152" s="40"/>
      <c r="B152" s="47"/>
      <c r="C152" s="20">
        <v>142</v>
      </c>
      <c r="D152" s="21" t="s">
        <v>168</v>
      </c>
      <c r="E152" s="29" t="s">
        <v>16</v>
      </c>
      <c r="F152" s="23">
        <v>0</v>
      </c>
      <c r="G152" s="74">
        <v>126.51</v>
      </c>
      <c r="H152" s="23">
        <v>0</v>
      </c>
      <c r="I152" s="43"/>
      <c r="J152" s="23">
        <f t="shared" si="7"/>
        <v>126.51</v>
      </c>
      <c r="K152" s="69">
        <v>97830</v>
      </c>
      <c r="L152" s="25">
        <v>229</v>
      </c>
      <c r="M152" s="54"/>
    </row>
    <row r="153" spans="1:13" ht="17.25" customHeight="1" x14ac:dyDescent="0.25">
      <c r="A153" s="40"/>
      <c r="B153" s="47"/>
      <c r="C153" s="20">
        <v>143</v>
      </c>
      <c r="D153" s="21" t="s">
        <v>169</v>
      </c>
      <c r="E153" s="29" t="s">
        <v>16</v>
      </c>
      <c r="F153" s="23">
        <v>0</v>
      </c>
      <c r="G153" s="74">
        <v>31.86</v>
      </c>
      <c r="H153" s="23">
        <v>0</v>
      </c>
      <c r="I153" s="43"/>
      <c r="J153" s="23">
        <f t="shared" si="7"/>
        <v>31.86</v>
      </c>
      <c r="K153" s="69">
        <v>24924</v>
      </c>
      <c r="L153" s="25">
        <v>70</v>
      </c>
      <c r="M153" s="54"/>
    </row>
    <row r="154" spans="1:13" ht="17.25" customHeight="1" x14ac:dyDescent="0.25">
      <c r="A154" s="2" t="s">
        <v>46</v>
      </c>
      <c r="B154" s="2"/>
      <c r="C154" s="2"/>
      <c r="D154" s="2"/>
      <c r="E154" s="33"/>
      <c r="F154" s="34">
        <f>SUM(F114:F153)</f>
        <v>114.3</v>
      </c>
      <c r="G154" s="34">
        <f>SUM(G114:G153)</f>
        <v>8587.0800000000036</v>
      </c>
      <c r="H154" s="34">
        <f>SUM(H114:H153)</f>
        <v>150.16999999999999</v>
      </c>
      <c r="I154" s="34"/>
      <c r="J154" s="35">
        <f>SUM(J114:J153)</f>
        <v>8851.5500000000047</v>
      </c>
      <c r="K154" s="36">
        <f>SUM(K108:K153)</f>
        <v>6892818</v>
      </c>
      <c r="L154" s="36">
        <f>SUM(L114:L153)</f>
        <v>5820</v>
      </c>
      <c r="M154" s="37"/>
    </row>
    <row r="155" spans="1:13" ht="17.25" customHeight="1" x14ac:dyDescent="0.25">
      <c r="A155" s="40" t="s">
        <v>170</v>
      </c>
      <c r="B155" s="41" t="s">
        <v>171</v>
      </c>
      <c r="C155" s="20">
        <v>144</v>
      </c>
      <c r="D155" s="59" t="s">
        <v>172</v>
      </c>
      <c r="E155" s="29" t="s">
        <v>16</v>
      </c>
      <c r="F155" s="23">
        <v>10.32</v>
      </c>
      <c r="G155" s="23">
        <v>122.1</v>
      </c>
      <c r="H155" s="68">
        <v>4.91</v>
      </c>
      <c r="I155" s="47"/>
      <c r="J155" s="68">
        <f t="shared" ref="J155:J166" si="8">SUM(F155:H155)</f>
        <v>137.32999999999998</v>
      </c>
      <c r="K155" s="79">
        <v>97371</v>
      </c>
      <c r="L155" s="25">
        <v>113</v>
      </c>
      <c r="M155" s="54"/>
    </row>
    <row r="156" spans="1:13" ht="17.25" customHeight="1" x14ac:dyDescent="0.25">
      <c r="A156" s="40"/>
      <c r="B156" s="47"/>
      <c r="C156" s="20">
        <v>145</v>
      </c>
      <c r="D156" s="62" t="s">
        <v>173</v>
      </c>
      <c r="E156" s="29" t="s">
        <v>16</v>
      </c>
      <c r="F156" s="23">
        <v>4.4400000000000004</v>
      </c>
      <c r="G156" s="23">
        <v>59.86</v>
      </c>
      <c r="H156" s="68">
        <v>1</v>
      </c>
      <c r="I156" s="47"/>
      <c r="J156" s="68">
        <f t="shared" si="8"/>
        <v>65.3</v>
      </c>
      <c r="K156" s="79">
        <v>48189</v>
      </c>
      <c r="L156" s="25">
        <v>95</v>
      </c>
      <c r="M156" s="80"/>
    </row>
    <row r="157" spans="1:13" ht="17.25" customHeight="1" x14ac:dyDescent="0.25">
      <c r="A157" s="40"/>
      <c r="B157" s="47"/>
      <c r="C157" s="20">
        <v>146</v>
      </c>
      <c r="D157" s="62" t="s">
        <v>174</v>
      </c>
      <c r="E157" s="29" t="s">
        <v>16</v>
      </c>
      <c r="F157" s="23">
        <v>6.1</v>
      </c>
      <c r="G157" s="23">
        <v>89.52</v>
      </c>
      <c r="H157" s="68">
        <v>1.98</v>
      </c>
      <c r="I157" s="47"/>
      <c r="J157" s="68">
        <f t="shared" si="8"/>
        <v>97.6</v>
      </c>
      <c r="K157" s="79">
        <v>71311</v>
      </c>
      <c r="L157" s="25">
        <v>131</v>
      </c>
      <c r="M157" s="54"/>
    </row>
    <row r="158" spans="1:13" ht="17.25" customHeight="1" x14ac:dyDescent="0.25">
      <c r="A158" s="40"/>
      <c r="B158" s="47"/>
      <c r="C158" s="20">
        <v>147</v>
      </c>
      <c r="D158" s="62" t="s">
        <v>175</v>
      </c>
      <c r="E158" s="29" t="s">
        <v>16</v>
      </c>
      <c r="F158" s="23">
        <v>10.35</v>
      </c>
      <c r="G158" s="23">
        <v>59.41</v>
      </c>
      <c r="H158" s="68">
        <v>0.51</v>
      </c>
      <c r="I158" s="47"/>
      <c r="J158" s="68">
        <f t="shared" si="8"/>
        <v>70.27</v>
      </c>
      <c r="K158" s="79">
        <v>46655</v>
      </c>
      <c r="L158" s="25">
        <v>105</v>
      </c>
      <c r="M158" s="54"/>
    </row>
    <row r="159" spans="1:13" ht="17.25" customHeight="1" x14ac:dyDescent="0.25">
      <c r="A159" s="40"/>
      <c r="B159" s="47"/>
      <c r="C159" s="20">
        <v>148</v>
      </c>
      <c r="D159" s="62" t="s">
        <v>176</v>
      </c>
      <c r="E159" s="29" t="s">
        <v>16</v>
      </c>
      <c r="F159" s="23">
        <v>10.84</v>
      </c>
      <c r="G159" s="23">
        <v>137.16</v>
      </c>
      <c r="H159" s="68">
        <v>0.5</v>
      </c>
      <c r="I159" s="47"/>
      <c r="J159" s="68">
        <f t="shared" si="8"/>
        <v>148.5</v>
      </c>
      <c r="K159" s="79">
        <v>106939</v>
      </c>
      <c r="L159" s="25">
        <v>212</v>
      </c>
      <c r="M159" s="54"/>
    </row>
    <row r="160" spans="1:13" ht="17.25" customHeight="1" x14ac:dyDescent="0.25">
      <c r="A160" s="40"/>
      <c r="B160" s="47"/>
      <c r="C160" s="20">
        <v>149</v>
      </c>
      <c r="D160" s="62" t="s">
        <v>177</v>
      </c>
      <c r="E160" s="29" t="s">
        <v>16</v>
      </c>
      <c r="F160" s="23">
        <v>5.1100000000000003</v>
      </c>
      <c r="G160" s="23">
        <v>57.6</v>
      </c>
      <c r="H160" s="68">
        <v>1.97</v>
      </c>
      <c r="I160" s="47"/>
      <c r="J160" s="68">
        <f t="shared" si="8"/>
        <v>64.680000000000007</v>
      </c>
      <c r="K160" s="79">
        <v>44382</v>
      </c>
      <c r="L160" s="25">
        <v>116</v>
      </c>
      <c r="M160" s="54"/>
    </row>
    <row r="161" spans="1:14" ht="17.25" customHeight="1" x14ac:dyDescent="0.25">
      <c r="A161" s="40"/>
      <c r="B161" s="47"/>
      <c r="C161" s="20">
        <v>150</v>
      </c>
      <c r="D161" s="62" t="s">
        <v>178</v>
      </c>
      <c r="E161" s="29" t="s">
        <v>16</v>
      </c>
      <c r="F161" s="23">
        <v>7.97</v>
      </c>
      <c r="G161" s="23">
        <v>77.27</v>
      </c>
      <c r="H161" s="68">
        <v>0.98</v>
      </c>
      <c r="I161" s="47"/>
      <c r="J161" s="68">
        <f t="shared" si="8"/>
        <v>86.22</v>
      </c>
      <c r="K161" s="79">
        <v>61679</v>
      </c>
      <c r="L161" s="25">
        <v>102</v>
      </c>
      <c r="M161" s="54"/>
    </row>
    <row r="162" spans="1:14" ht="17.25" customHeight="1" x14ac:dyDescent="0.25">
      <c r="A162" s="40"/>
      <c r="B162" s="47"/>
      <c r="C162" s="20">
        <v>151</v>
      </c>
      <c r="D162" s="62" t="s">
        <v>179</v>
      </c>
      <c r="E162" s="29" t="s">
        <v>16</v>
      </c>
      <c r="F162" s="23">
        <v>7.49</v>
      </c>
      <c r="G162" s="23">
        <v>113.43</v>
      </c>
      <c r="H162" s="68">
        <v>0.5</v>
      </c>
      <c r="I162" s="47"/>
      <c r="J162" s="68">
        <f t="shared" si="8"/>
        <v>121.42</v>
      </c>
      <c r="K162" s="79">
        <v>90238</v>
      </c>
      <c r="L162" s="25">
        <v>77</v>
      </c>
      <c r="M162" s="54"/>
    </row>
    <row r="163" spans="1:14" ht="17.25" customHeight="1" x14ac:dyDescent="0.25">
      <c r="A163" s="40"/>
      <c r="B163" s="47"/>
      <c r="C163" s="20">
        <v>152</v>
      </c>
      <c r="D163" s="62" t="s">
        <v>180</v>
      </c>
      <c r="E163" s="29" t="s">
        <v>16</v>
      </c>
      <c r="F163" s="23">
        <v>23.81</v>
      </c>
      <c r="G163" s="23">
        <v>153.4</v>
      </c>
      <c r="H163" s="68">
        <v>1.29</v>
      </c>
      <c r="I163" s="47"/>
      <c r="J163" s="68">
        <f t="shared" si="8"/>
        <v>178.5</v>
      </c>
      <c r="K163" s="79">
        <v>119071</v>
      </c>
      <c r="L163" s="25">
        <v>140</v>
      </c>
      <c r="M163" s="54"/>
    </row>
    <row r="164" spans="1:14" ht="17.25" customHeight="1" x14ac:dyDescent="0.25">
      <c r="A164" s="40"/>
      <c r="B164" s="47"/>
      <c r="C164" s="20">
        <v>153</v>
      </c>
      <c r="D164" s="62" t="s">
        <v>181</v>
      </c>
      <c r="E164" s="29" t="s">
        <v>16</v>
      </c>
      <c r="F164" s="23">
        <v>12.72</v>
      </c>
      <c r="G164" s="23">
        <v>140.69999999999999</v>
      </c>
      <c r="H164" s="68">
        <v>1.47</v>
      </c>
      <c r="I164" s="47"/>
      <c r="J164" s="68">
        <f t="shared" si="8"/>
        <v>154.88999999999999</v>
      </c>
      <c r="K164" s="79">
        <v>112761</v>
      </c>
      <c r="L164" s="25">
        <v>167</v>
      </c>
      <c r="M164" s="54"/>
    </row>
    <row r="165" spans="1:14" ht="17.25" customHeight="1" x14ac:dyDescent="0.25">
      <c r="A165" s="40"/>
      <c r="B165" s="47"/>
      <c r="C165" s="20">
        <v>154</v>
      </c>
      <c r="D165" s="62" t="s">
        <v>182</v>
      </c>
      <c r="E165" s="29" t="s">
        <v>16</v>
      </c>
      <c r="F165" s="23">
        <v>0</v>
      </c>
      <c r="G165" s="23">
        <v>67.599999999999994</v>
      </c>
      <c r="H165" s="68">
        <v>0</v>
      </c>
      <c r="I165" s="47"/>
      <c r="J165" s="68">
        <f t="shared" si="8"/>
        <v>67.599999999999994</v>
      </c>
      <c r="K165" s="79">
        <v>54573</v>
      </c>
      <c r="L165" s="25">
        <v>97</v>
      </c>
      <c r="M165" s="54"/>
    </row>
    <row r="166" spans="1:14" ht="17.25" customHeight="1" x14ac:dyDescent="0.25">
      <c r="A166" s="40"/>
      <c r="B166" s="47"/>
      <c r="C166" s="20">
        <v>155</v>
      </c>
      <c r="D166" s="62" t="s">
        <v>183</v>
      </c>
      <c r="E166" s="29" t="s">
        <v>16</v>
      </c>
      <c r="F166" s="23">
        <v>0</v>
      </c>
      <c r="G166" s="23">
        <v>62.31</v>
      </c>
      <c r="H166" s="68">
        <v>0</v>
      </c>
      <c r="I166" s="47"/>
      <c r="J166" s="68">
        <f t="shared" si="8"/>
        <v>62.31</v>
      </c>
      <c r="K166" s="79">
        <v>47873</v>
      </c>
      <c r="L166" s="25">
        <v>140</v>
      </c>
      <c r="M166" s="54"/>
    </row>
    <row r="167" spans="1:14" ht="17.25" customHeight="1" x14ac:dyDescent="0.25">
      <c r="A167" s="2" t="s">
        <v>46</v>
      </c>
      <c r="B167" s="2"/>
      <c r="C167" s="2"/>
      <c r="D167" s="2"/>
      <c r="E167" s="33"/>
      <c r="F167" s="34">
        <f>SUM(F155:F166)</f>
        <v>99.149999999999991</v>
      </c>
      <c r="G167" s="34">
        <f>SUM(G155:G166)</f>
        <v>1140.3599999999997</v>
      </c>
      <c r="H167" s="34">
        <f>SUM(H155:H166)</f>
        <v>15.110000000000001</v>
      </c>
      <c r="I167" s="34"/>
      <c r="J167" s="35">
        <f>SUM(J155:J166)</f>
        <v>1254.6199999999999</v>
      </c>
      <c r="K167" s="36">
        <f>SUM(K155:K166)</f>
        <v>901042</v>
      </c>
      <c r="L167" s="36">
        <f>SUM(L155:L166)</f>
        <v>1495</v>
      </c>
      <c r="M167" s="37"/>
      <c r="N167" s="38">
        <v>1110</v>
      </c>
    </row>
    <row r="168" spans="1:14" ht="17.25" customHeight="1" x14ac:dyDescent="0.25">
      <c r="A168" s="40" t="s">
        <v>184</v>
      </c>
      <c r="B168" s="41" t="s">
        <v>185</v>
      </c>
      <c r="C168" s="20">
        <v>156</v>
      </c>
      <c r="D168" s="21" t="s">
        <v>186</v>
      </c>
      <c r="E168" s="29" t="s">
        <v>16</v>
      </c>
      <c r="F168" s="23">
        <v>1.03</v>
      </c>
      <c r="G168" s="23">
        <v>17.96</v>
      </c>
      <c r="H168" s="23">
        <v>3.42</v>
      </c>
      <c r="I168" s="23"/>
      <c r="J168" s="68">
        <f t="shared" ref="J168:J202" si="9">SUM(F168:H168)</f>
        <v>22.410000000000004</v>
      </c>
      <c r="K168" s="79">
        <v>16243</v>
      </c>
      <c r="L168" s="69">
        <v>16</v>
      </c>
      <c r="M168" s="54"/>
      <c r="N168" s="81">
        <f>J167</f>
        <v>1254.6199999999999</v>
      </c>
    </row>
    <row r="169" spans="1:14" ht="17.25" customHeight="1" x14ac:dyDescent="0.25">
      <c r="A169" s="40"/>
      <c r="B169" s="47"/>
      <c r="C169" s="20">
        <v>157</v>
      </c>
      <c r="D169" s="21" t="s">
        <v>187</v>
      </c>
      <c r="E169" s="29" t="s">
        <v>16</v>
      </c>
      <c r="F169" s="23">
        <v>0</v>
      </c>
      <c r="G169" s="23">
        <v>7.35</v>
      </c>
      <c r="H169" s="23">
        <v>2.6</v>
      </c>
      <c r="I169" s="23"/>
      <c r="J169" s="68">
        <f t="shared" si="9"/>
        <v>9.9499999999999993</v>
      </c>
      <c r="K169" s="79">
        <v>6525</v>
      </c>
      <c r="L169" s="69">
        <v>15</v>
      </c>
      <c r="M169" s="54"/>
      <c r="N169" s="7">
        <f>N168+N167</f>
        <v>2364.62</v>
      </c>
    </row>
    <row r="170" spans="1:14" ht="17.25" customHeight="1" x14ac:dyDescent="0.25">
      <c r="A170" s="40"/>
      <c r="B170" s="47"/>
      <c r="C170" s="20">
        <v>158</v>
      </c>
      <c r="D170" s="21" t="s">
        <v>188</v>
      </c>
      <c r="E170" s="29" t="s">
        <v>16</v>
      </c>
      <c r="F170" s="23">
        <v>0</v>
      </c>
      <c r="G170" s="23">
        <v>3.92</v>
      </c>
      <c r="H170" s="23">
        <v>0.98</v>
      </c>
      <c r="I170" s="23"/>
      <c r="J170" s="68">
        <f t="shared" si="9"/>
        <v>4.9000000000000004</v>
      </c>
      <c r="K170" s="79">
        <v>3458</v>
      </c>
      <c r="L170" s="69">
        <v>5</v>
      </c>
      <c r="M170" s="54"/>
    </row>
    <row r="171" spans="1:14" ht="17.25" customHeight="1" x14ac:dyDescent="0.25">
      <c r="A171" s="40"/>
      <c r="B171" s="47"/>
      <c r="C171" s="20">
        <v>159</v>
      </c>
      <c r="D171" s="21" t="s">
        <v>189</v>
      </c>
      <c r="E171" s="29" t="s">
        <v>16</v>
      </c>
      <c r="F171" s="23">
        <v>0</v>
      </c>
      <c r="G171" s="23">
        <v>2.95</v>
      </c>
      <c r="H171" s="23">
        <v>3.89</v>
      </c>
      <c r="I171" s="23"/>
      <c r="J171" s="68">
        <f t="shared" si="9"/>
        <v>6.84</v>
      </c>
      <c r="K171" s="79">
        <v>2570</v>
      </c>
      <c r="L171" s="69">
        <v>11</v>
      </c>
      <c r="M171" s="54"/>
    </row>
    <row r="172" spans="1:14" ht="17.25" customHeight="1" x14ac:dyDescent="0.25">
      <c r="A172" s="40"/>
      <c r="B172" s="47"/>
      <c r="C172" s="20">
        <v>160</v>
      </c>
      <c r="D172" s="21" t="s">
        <v>190</v>
      </c>
      <c r="E172" s="29" t="s">
        <v>16</v>
      </c>
      <c r="F172" s="23">
        <v>0</v>
      </c>
      <c r="G172" s="23">
        <v>27.47</v>
      </c>
      <c r="H172" s="23">
        <v>6.04</v>
      </c>
      <c r="I172" s="23"/>
      <c r="J172" s="68">
        <f t="shared" si="9"/>
        <v>33.51</v>
      </c>
      <c r="K172" s="79">
        <v>24510</v>
      </c>
      <c r="L172" s="69">
        <v>11</v>
      </c>
      <c r="M172" s="54"/>
    </row>
    <row r="173" spans="1:14" ht="17.25" customHeight="1" x14ac:dyDescent="0.25">
      <c r="A173" s="40"/>
      <c r="B173" s="47"/>
      <c r="C173" s="20">
        <v>161</v>
      </c>
      <c r="D173" s="21" t="s">
        <v>191</v>
      </c>
      <c r="E173" s="29" t="s">
        <v>16</v>
      </c>
      <c r="F173" s="23">
        <v>2.48</v>
      </c>
      <c r="G173" s="23">
        <v>18.36</v>
      </c>
      <c r="H173" s="23">
        <v>4</v>
      </c>
      <c r="I173" s="23"/>
      <c r="J173" s="68">
        <f t="shared" si="9"/>
        <v>24.84</v>
      </c>
      <c r="K173" s="79">
        <v>15909</v>
      </c>
      <c r="L173" s="69">
        <v>43</v>
      </c>
      <c r="M173" s="54"/>
    </row>
    <row r="174" spans="1:14" ht="17.25" customHeight="1" x14ac:dyDescent="0.25">
      <c r="A174" s="40"/>
      <c r="B174" s="47"/>
      <c r="C174" s="20">
        <v>162</v>
      </c>
      <c r="D174" s="21" t="s">
        <v>192</v>
      </c>
      <c r="E174" s="29" t="s">
        <v>16</v>
      </c>
      <c r="F174" s="23">
        <v>1.02</v>
      </c>
      <c r="G174" s="23">
        <v>9.76</v>
      </c>
      <c r="H174" s="23">
        <v>0</v>
      </c>
      <c r="I174" s="23"/>
      <c r="J174" s="68">
        <f t="shared" si="9"/>
        <v>10.78</v>
      </c>
      <c r="K174" s="79">
        <v>8850</v>
      </c>
      <c r="L174" s="69">
        <v>38</v>
      </c>
      <c r="M174" s="54"/>
    </row>
    <row r="175" spans="1:14" ht="17.25" customHeight="1" x14ac:dyDescent="0.25">
      <c r="A175" s="40"/>
      <c r="B175" s="47"/>
      <c r="C175" s="20">
        <v>163</v>
      </c>
      <c r="D175" s="21" t="s">
        <v>193</v>
      </c>
      <c r="E175" s="29" t="s">
        <v>16</v>
      </c>
      <c r="F175" s="23">
        <v>5.94</v>
      </c>
      <c r="G175" s="23">
        <v>20.94</v>
      </c>
      <c r="H175" s="23">
        <v>22.46</v>
      </c>
      <c r="I175" s="23"/>
      <c r="J175" s="68">
        <f t="shared" si="9"/>
        <v>49.34</v>
      </c>
      <c r="K175" s="79">
        <v>18817</v>
      </c>
      <c r="L175" s="69">
        <v>72</v>
      </c>
      <c r="M175" s="54"/>
    </row>
    <row r="176" spans="1:14" ht="17.25" customHeight="1" x14ac:dyDescent="0.25">
      <c r="A176" s="40"/>
      <c r="B176" s="47"/>
      <c r="C176" s="20">
        <v>164</v>
      </c>
      <c r="D176" s="21" t="s">
        <v>194</v>
      </c>
      <c r="E176" s="29" t="s">
        <v>16</v>
      </c>
      <c r="F176" s="23">
        <v>4</v>
      </c>
      <c r="G176" s="23">
        <v>66.540000000000006</v>
      </c>
      <c r="H176" s="23">
        <v>10.65</v>
      </c>
      <c r="I176" s="23"/>
      <c r="J176" s="68">
        <f t="shared" si="9"/>
        <v>81.190000000000012</v>
      </c>
      <c r="K176" s="79">
        <v>58173</v>
      </c>
      <c r="L176" s="69">
        <v>189</v>
      </c>
      <c r="M176" s="54"/>
    </row>
    <row r="177" spans="1:13" ht="17.25" customHeight="1" x14ac:dyDescent="0.25">
      <c r="A177" s="40"/>
      <c r="B177" s="47"/>
      <c r="C177" s="20">
        <v>165</v>
      </c>
      <c r="D177" s="21" t="s">
        <v>195</v>
      </c>
      <c r="E177" s="29" t="s">
        <v>16</v>
      </c>
      <c r="F177" s="23">
        <v>20.92</v>
      </c>
      <c r="G177" s="23">
        <v>218.99</v>
      </c>
      <c r="H177" s="23">
        <v>5.84</v>
      </c>
      <c r="I177" s="23"/>
      <c r="J177" s="68">
        <f t="shared" si="9"/>
        <v>245.75000000000003</v>
      </c>
      <c r="K177" s="79">
        <v>191654</v>
      </c>
      <c r="L177" s="69">
        <v>101</v>
      </c>
      <c r="M177" s="54"/>
    </row>
    <row r="178" spans="1:13" ht="17.25" customHeight="1" x14ac:dyDescent="0.25">
      <c r="A178" s="40"/>
      <c r="B178" s="47"/>
      <c r="C178" s="20">
        <v>166</v>
      </c>
      <c r="D178" s="21" t="s">
        <v>196</v>
      </c>
      <c r="E178" s="29" t="s">
        <v>16</v>
      </c>
      <c r="F178" s="23">
        <v>0</v>
      </c>
      <c r="G178" s="23">
        <v>46.36</v>
      </c>
      <c r="H178" s="23">
        <v>45.18</v>
      </c>
      <c r="I178" s="23"/>
      <c r="J178" s="68">
        <f t="shared" si="9"/>
        <v>91.539999999999992</v>
      </c>
      <c r="K178" s="79">
        <v>40450</v>
      </c>
      <c r="L178" s="69">
        <v>123</v>
      </c>
      <c r="M178" s="54"/>
    </row>
    <row r="179" spans="1:13" ht="17.25" customHeight="1" x14ac:dyDescent="0.25">
      <c r="A179" s="40"/>
      <c r="B179" s="47"/>
      <c r="C179" s="20">
        <v>167</v>
      </c>
      <c r="D179" s="21" t="s">
        <v>197</v>
      </c>
      <c r="E179" s="29" t="s">
        <v>16</v>
      </c>
      <c r="F179" s="23">
        <v>0</v>
      </c>
      <c r="G179" s="23">
        <v>156.72999999999999</v>
      </c>
      <c r="H179" s="23">
        <v>0</v>
      </c>
      <c r="I179" s="23"/>
      <c r="J179" s="68">
        <f t="shared" si="9"/>
        <v>156.72999999999999</v>
      </c>
      <c r="K179" s="79">
        <v>138738</v>
      </c>
      <c r="L179" s="69">
        <v>98</v>
      </c>
      <c r="M179" s="54"/>
    </row>
    <row r="180" spans="1:13" ht="17.25" customHeight="1" x14ac:dyDescent="0.25">
      <c r="A180" s="40"/>
      <c r="B180" s="47"/>
      <c r="C180" s="20">
        <v>168</v>
      </c>
      <c r="D180" s="21" t="s">
        <v>198</v>
      </c>
      <c r="E180" s="29" t="s">
        <v>16</v>
      </c>
      <c r="F180" s="23">
        <v>5.17</v>
      </c>
      <c r="G180" s="23">
        <v>119.47</v>
      </c>
      <c r="H180" s="23">
        <v>10.89</v>
      </c>
      <c r="I180" s="23"/>
      <c r="J180" s="68">
        <f t="shared" si="9"/>
        <v>135.53</v>
      </c>
      <c r="K180" s="79">
        <v>108325</v>
      </c>
      <c r="L180" s="69">
        <v>246</v>
      </c>
      <c r="M180" s="54"/>
    </row>
    <row r="181" spans="1:13" ht="17.25" customHeight="1" x14ac:dyDescent="0.25">
      <c r="A181" s="40"/>
      <c r="B181" s="47"/>
      <c r="C181" s="20">
        <v>169</v>
      </c>
      <c r="D181" s="21" t="s">
        <v>199</v>
      </c>
      <c r="E181" s="29" t="s">
        <v>16</v>
      </c>
      <c r="F181" s="23">
        <v>3.1</v>
      </c>
      <c r="G181" s="23">
        <v>10.86</v>
      </c>
      <c r="H181" s="23">
        <v>4.03</v>
      </c>
      <c r="I181" s="23"/>
      <c r="J181" s="68">
        <f t="shared" si="9"/>
        <v>17.989999999999998</v>
      </c>
      <c r="K181" s="79">
        <v>9596</v>
      </c>
      <c r="L181" s="69">
        <v>45</v>
      </c>
      <c r="M181" s="54"/>
    </row>
    <row r="182" spans="1:13" ht="17.25" customHeight="1" x14ac:dyDescent="0.25">
      <c r="A182" s="40"/>
      <c r="B182" s="47"/>
      <c r="C182" s="20">
        <v>170</v>
      </c>
      <c r="D182" s="21" t="s">
        <v>200</v>
      </c>
      <c r="E182" s="29" t="s">
        <v>16</v>
      </c>
      <c r="F182" s="23">
        <v>2.06</v>
      </c>
      <c r="G182" s="23">
        <v>143.24</v>
      </c>
      <c r="H182" s="23">
        <v>4.8600000000000003</v>
      </c>
      <c r="I182" s="23"/>
      <c r="J182" s="68">
        <f t="shared" si="9"/>
        <v>150.16000000000003</v>
      </c>
      <c r="K182" s="79">
        <v>127419</v>
      </c>
      <c r="L182" s="69">
        <v>97</v>
      </c>
      <c r="M182" s="54"/>
    </row>
    <row r="183" spans="1:13" ht="17.25" customHeight="1" x14ac:dyDescent="0.25">
      <c r="A183" s="40"/>
      <c r="B183" s="47"/>
      <c r="C183" s="20">
        <v>171</v>
      </c>
      <c r="D183" s="21" t="s">
        <v>201</v>
      </c>
      <c r="E183" s="29" t="s">
        <v>16</v>
      </c>
      <c r="F183" s="23">
        <v>2.97</v>
      </c>
      <c r="G183" s="23">
        <v>31.65</v>
      </c>
      <c r="H183" s="23">
        <v>5.92</v>
      </c>
      <c r="I183" s="23"/>
      <c r="J183" s="68">
        <f t="shared" si="9"/>
        <v>40.54</v>
      </c>
      <c r="K183" s="79">
        <v>27613</v>
      </c>
      <c r="L183" s="69">
        <v>39</v>
      </c>
      <c r="M183" s="54"/>
    </row>
    <row r="184" spans="1:13" ht="17.25" customHeight="1" x14ac:dyDescent="0.25">
      <c r="A184" s="40"/>
      <c r="B184" s="47"/>
      <c r="C184" s="20">
        <v>172</v>
      </c>
      <c r="D184" s="21" t="s">
        <v>202</v>
      </c>
      <c r="E184" s="29" t="s">
        <v>16</v>
      </c>
      <c r="F184" s="23">
        <v>2.02</v>
      </c>
      <c r="G184" s="23">
        <v>46.7</v>
      </c>
      <c r="H184" s="23">
        <v>3.97</v>
      </c>
      <c r="I184" s="23"/>
      <c r="J184" s="68">
        <f t="shared" si="9"/>
        <v>52.690000000000005</v>
      </c>
      <c r="K184" s="79">
        <v>41637</v>
      </c>
      <c r="L184" s="69">
        <v>61</v>
      </c>
      <c r="M184" s="54"/>
    </row>
    <row r="185" spans="1:13" ht="17.25" customHeight="1" x14ac:dyDescent="0.25">
      <c r="A185" s="40"/>
      <c r="B185" s="47"/>
      <c r="C185" s="20">
        <v>173</v>
      </c>
      <c r="D185" s="21" t="s">
        <v>203</v>
      </c>
      <c r="E185" s="29" t="s">
        <v>16</v>
      </c>
      <c r="F185" s="23">
        <v>2.02</v>
      </c>
      <c r="G185" s="23">
        <v>27.22</v>
      </c>
      <c r="H185" s="23">
        <v>4.04</v>
      </c>
      <c r="I185" s="23"/>
      <c r="J185" s="68">
        <f t="shared" si="9"/>
        <v>33.28</v>
      </c>
      <c r="K185" s="79">
        <v>24076</v>
      </c>
      <c r="L185" s="69">
        <v>45</v>
      </c>
      <c r="M185" s="54"/>
    </row>
    <row r="186" spans="1:13" ht="17.25" customHeight="1" x14ac:dyDescent="0.25">
      <c r="A186" s="40"/>
      <c r="B186" s="47"/>
      <c r="C186" s="20">
        <v>174</v>
      </c>
      <c r="D186" s="21" t="s">
        <v>204</v>
      </c>
      <c r="E186" s="29" t="s">
        <v>16</v>
      </c>
      <c r="F186" s="23">
        <v>3.03</v>
      </c>
      <c r="G186" s="23">
        <v>94.28</v>
      </c>
      <c r="H186" s="23">
        <v>6.06</v>
      </c>
      <c r="I186" s="23"/>
      <c r="J186" s="68">
        <f t="shared" si="9"/>
        <v>103.37</v>
      </c>
      <c r="K186" s="79">
        <v>82803</v>
      </c>
      <c r="L186" s="69">
        <v>139</v>
      </c>
      <c r="M186" s="54"/>
    </row>
    <row r="187" spans="1:13" ht="17.25" customHeight="1" x14ac:dyDescent="0.25">
      <c r="A187" s="40"/>
      <c r="B187" s="47"/>
      <c r="C187" s="20">
        <v>175</v>
      </c>
      <c r="D187" s="21" t="s">
        <v>205</v>
      </c>
      <c r="E187" s="29" t="s">
        <v>16</v>
      </c>
      <c r="F187" s="23">
        <v>10.93</v>
      </c>
      <c r="G187" s="23">
        <v>202.97</v>
      </c>
      <c r="H187" s="23">
        <v>20.399999999999999</v>
      </c>
      <c r="I187" s="23"/>
      <c r="J187" s="68">
        <f t="shared" si="9"/>
        <v>234.3</v>
      </c>
      <c r="K187" s="79">
        <v>183618</v>
      </c>
      <c r="L187" s="69">
        <v>260</v>
      </c>
      <c r="M187" s="54"/>
    </row>
    <row r="188" spans="1:13" ht="17.25" customHeight="1" x14ac:dyDescent="0.25">
      <c r="A188" s="40"/>
      <c r="B188" s="47"/>
      <c r="C188" s="20">
        <v>176</v>
      </c>
      <c r="D188" s="21" t="s">
        <v>206</v>
      </c>
      <c r="E188" s="29" t="s">
        <v>16</v>
      </c>
      <c r="F188" s="23">
        <v>2.5299999999999998</v>
      </c>
      <c r="G188" s="23">
        <v>113.49</v>
      </c>
      <c r="H188" s="23">
        <v>56.46</v>
      </c>
      <c r="I188" s="23"/>
      <c r="J188" s="68">
        <f t="shared" si="9"/>
        <v>172.48</v>
      </c>
      <c r="K188" s="79">
        <v>98662</v>
      </c>
      <c r="L188" s="69">
        <v>209</v>
      </c>
      <c r="M188" s="54"/>
    </row>
    <row r="189" spans="1:13" ht="17.25" customHeight="1" x14ac:dyDescent="0.25">
      <c r="A189" s="40"/>
      <c r="B189" s="47"/>
      <c r="C189" s="20">
        <v>177</v>
      </c>
      <c r="D189" s="21" t="s">
        <v>207</v>
      </c>
      <c r="E189" s="29" t="s">
        <v>16</v>
      </c>
      <c r="F189" s="23">
        <v>20.86</v>
      </c>
      <c r="G189" s="23">
        <v>43.19</v>
      </c>
      <c r="H189" s="23"/>
      <c r="I189" s="23"/>
      <c r="J189" s="68">
        <f t="shared" si="9"/>
        <v>64.05</v>
      </c>
      <c r="K189" s="79">
        <v>38807</v>
      </c>
      <c r="L189" s="69">
        <v>88</v>
      </c>
      <c r="M189" s="54"/>
    </row>
    <row r="190" spans="1:13" ht="17.25" customHeight="1" x14ac:dyDescent="0.25">
      <c r="A190" s="40"/>
      <c r="B190" s="47"/>
      <c r="C190" s="20">
        <v>178</v>
      </c>
      <c r="D190" s="21" t="s">
        <v>208</v>
      </c>
      <c r="E190" s="29" t="s">
        <v>16</v>
      </c>
      <c r="F190" s="23">
        <v>3</v>
      </c>
      <c r="G190" s="23">
        <v>56.74</v>
      </c>
      <c r="H190" s="23">
        <v>3.04</v>
      </c>
      <c r="I190" s="23"/>
      <c r="J190" s="68">
        <f t="shared" si="9"/>
        <v>62.78</v>
      </c>
      <c r="K190" s="79">
        <v>50972</v>
      </c>
      <c r="L190" s="69">
        <v>84</v>
      </c>
      <c r="M190" s="54"/>
    </row>
    <row r="191" spans="1:13" ht="17.25" customHeight="1" x14ac:dyDescent="0.25">
      <c r="A191" s="40"/>
      <c r="B191" s="47"/>
      <c r="C191" s="20">
        <v>179</v>
      </c>
      <c r="D191" s="21" t="s">
        <v>209</v>
      </c>
      <c r="E191" s="29" t="s">
        <v>16</v>
      </c>
      <c r="F191" s="23">
        <v>5.97</v>
      </c>
      <c r="G191" s="23">
        <v>184.87</v>
      </c>
      <c r="H191" s="23">
        <v>11.71</v>
      </c>
      <c r="I191" s="23"/>
      <c r="J191" s="68">
        <f t="shared" si="9"/>
        <v>202.55</v>
      </c>
      <c r="K191" s="79">
        <v>164027</v>
      </c>
      <c r="L191" s="69">
        <v>144</v>
      </c>
      <c r="M191" s="54"/>
    </row>
    <row r="192" spans="1:13" ht="17.25" customHeight="1" x14ac:dyDescent="0.25">
      <c r="A192" s="40"/>
      <c r="B192" s="47"/>
      <c r="C192" s="20">
        <v>180</v>
      </c>
      <c r="D192" s="21" t="s">
        <v>210</v>
      </c>
      <c r="E192" s="29" t="s">
        <v>16</v>
      </c>
      <c r="F192" s="23">
        <v>0</v>
      </c>
      <c r="G192" s="23">
        <v>67.2</v>
      </c>
      <c r="H192" s="23">
        <v>0</v>
      </c>
      <c r="I192" s="23"/>
      <c r="J192" s="68">
        <f t="shared" si="9"/>
        <v>67.2</v>
      </c>
      <c r="K192" s="79">
        <v>59502</v>
      </c>
      <c r="L192" s="69">
        <v>139</v>
      </c>
      <c r="M192" s="54"/>
    </row>
    <row r="193" spans="1:14" ht="17.25" customHeight="1" x14ac:dyDescent="0.25">
      <c r="A193" s="40"/>
      <c r="B193" s="47"/>
      <c r="C193" s="20">
        <v>181</v>
      </c>
      <c r="D193" s="21" t="s">
        <v>211</v>
      </c>
      <c r="E193" s="29" t="s">
        <v>16</v>
      </c>
      <c r="F193" s="23">
        <v>11.01</v>
      </c>
      <c r="G193" s="23">
        <v>87.49</v>
      </c>
      <c r="H193" s="23">
        <v>6.84</v>
      </c>
      <c r="I193" s="23"/>
      <c r="J193" s="68">
        <f t="shared" si="9"/>
        <v>105.34</v>
      </c>
      <c r="K193" s="79">
        <v>75688</v>
      </c>
      <c r="L193" s="69">
        <v>72</v>
      </c>
      <c r="M193" s="54"/>
    </row>
    <row r="194" spans="1:14" ht="17.25" customHeight="1" x14ac:dyDescent="0.25">
      <c r="A194" s="40"/>
      <c r="B194" s="47"/>
      <c r="C194" s="20">
        <v>182</v>
      </c>
      <c r="D194" s="21" t="s">
        <v>212</v>
      </c>
      <c r="E194" s="29" t="s">
        <v>16</v>
      </c>
      <c r="F194" s="23">
        <v>5.95</v>
      </c>
      <c r="G194" s="23">
        <v>12.09</v>
      </c>
      <c r="H194" s="23">
        <v>12.07</v>
      </c>
      <c r="I194" s="23"/>
      <c r="J194" s="68">
        <f t="shared" si="9"/>
        <v>30.11</v>
      </c>
      <c r="K194" s="79">
        <v>10951</v>
      </c>
      <c r="L194" s="69">
        <v>79</v>
      </c>
      <c r="M194" s="54"/>
    </row>
    <row r="195" spans="1:14" ht="17.25" customHeight="1" x14ac:dyDescent="0.25">
      <c r="A195" s="40"/>
      <c r="B195" s="47"/>
      <c r="C195" s="20">
        <v>183</v>
      </c>
      <c r="D195" s="21" t="s">
        <v>213</v>
      </c>
      <c r="E195" s="29" t="s">
        <v>16</v>
      </c>
      <c r="F195" s="23">
        <v>5.14</v>
      </c>
      <c r="G195" s="23">
        <v>138.86000000000001</v>
      </c>
      <c r="H195" s="23">
        <v>11.75</v>
      </c>
      <c r="I195" s="23"/>
      <c r="J195" s="68">
        <f t="shared" si="9"/>
        <v>155.75</v>
      </c>
      <c r="K195" s="79">
        <v>125038</v>
      </c>
      <c r="L195" s="69">
        <v>166</v>
      </c>
      <c r="M195" s="54"/>
    </row>
    <row r="196" spans="1:14" ht="17.25" customHeight="1" x14ac:dyDescent="0.25">
      <c r="A196" s="40"/>
      <c r="B196" s="47"/>
      <c r="C196" s="20">
        <v>184</v>
      </c>
      <c r="D196" s="21" t="s">
        <v>214</v>
      </c>
      <c r="E196" s="29" t="s">
        <v>16</v>
      </c>
      <c r="F196" s="23">
        <v>1.99</v>
      </c>
      <c r="G196" s="23">
        <v>240.23</v>
      </c>
      <c r="H196" s="23">
        <v>11.78</v>
      </c>
      <c r="I196" s="23"/>
      <c r="J196" s="68">
        <f t="shared" si="9"/>
        <v>254</v>
      </c>
      <c r="K196" s="79">
        <v>210851</v>
      </c>
      <c r="L196" s="69">
        <v>208</v>
      </c>
      <c r="M196" s="54"/>
    </row>
    <row r="197" spans="1:14" ht="17.25" customHeight="1" x14ac:dyDescent="0.25">
      <c r="A197" s="40"/>
      <c r="B197" s="47"/>
      <c r="C197" s="20">
        <v>185</v>
      </c>
      <c r="D197" s="21" t="s">
        <v>215</v>
      </c>
      <c r="E197" s="29" t="s">
        <v>16</v>
      </c>
      <c r="F197" s="23">
        <v>26.43</v>
      </c>
      <c r="G197" s="23">
        <v>45.62</v>
      </c>
      <c r="H197" s="23">
        <v>50.27</v>
      </c>
      <c r="I197" s="23"/>
      <c r="J197" s="68">
        <f t="shared" si="9"/>
        <v>122.32</v>
      </c>
      <c r="K197" s="79">
        <v>40515</v>
      </c>
      <c r="L197" s="69">
        <v>96</v>
      </c>
      <c r="M197" s="54"/>
    </row>
    <row r="198" spans="1:14" ht="17.25" customHeight="1" x14ac:dyDescent="0.25">
      <c r="A198" s="40"/>
      <c r="B198" s="47"/>
      <c r="C198" s="20">
        <v>186</v>
      </c>
      <c r="D198" s="21" t="s">
        <v>216</v>
      </c>
      <c r="E198" s="29" t="s">
        <v>16</v>
      </c>
      <c r="F198" s="23">
        <v>15.83</v>
      </c>
      <c r="G198" s="23">
        <v>105.74</v>
      </c>
      <c r="H198" s="23">
        <v>17.21</v>
      </c>
      <c r="I198" s="23"/>
      <c r="J198" s="68">
        <f t="shared" si="9"/>
        <v>138.78</v>
      </c>
      <c r="K198" s="79">
        <v>94731</v>
      </c>
      <c r="L198" s="69">
        <v>226</v>
      </c>
      <c r="M198" s="54"/>
    </row>
    <row r="199" spans="1:14" ht="17.25" customHeight="1" x14ac:dyDescent="0.25">
      <c r="A199" s="40"/>
      <c r="B199" s="47"/>
      <c r="C199" s="20">
        <v>187</v>
      </c>
      <c r="D199" s="21" t="s">
        <v>217</v>
      </c>
      <c r="E199" s="29" t="s">
        <v>16</v>
      </c>
      <c r="F199" s="23">
        <v>3.06</v>
      </c>
      <c r="G199" s="23">
        <v>699.67</v>
      </c>
      <c r="H199" s="23">
        <v>198.9</v>
      </c>
      <c r="I199" s="23"/>
      <c r="J199" s="68">
        <f t="shared" si="9"/>
        <v>901.62999999999988</v>
      </c>
      <c r="K199" s="79">
        <v>616309</v>
      </c>
      <c r="L199" s="69">
        <v>129</v>
      </c>
      <c r="M199" s="54"/>
    </row>
    <row r="200" spans="1:14" ht="17.25" customHeight="1" x14ac:dyDescent="0.25">
      <c r="A200" s="40"/>
      <c r="B200" s="47"/>
      <c r="C200" s="20">
        <v>188</v>
      </c>
      <c r="D200" s="21" t="s">
        <v>218</v>
      </c>
      <c r="E200" s="29" t="s">
        <v>16</v>
      </c>
      <c r="F200" s="23">
        <v>11.41</v>
      </c>
      <c r="G200" s="23">
        <v>87.23</v>
      </c>
      <c r="H200" s="23">
        <v>10.79</v>
      </c>
      <c r="I200" s="23"/>
      <c r="J200" s="68">
        <f t="shared" si="9"/>
        <v>109.43</v>
      </c>
      <c r="K200" s="79">
        <v>78272</v>
      </c>
      <c r="L200" s="69">
        <v>177</v>
      </c>
      <c r="M200" s="54"/>
    </row>
    <row r="201" spans="1:14" ht="17.25" customHeight="1" x14ac:dyDescent="0.25">
      <c r="A201" s="40"/>
      <c r="B201" s="47"/>
      <c r="C201" s="20">
        <v>189</v>
      </c>
      <c r="D201" s="21" t="s">
        <v>219</v>
      </c>
      <c r="E201" s="29" t="s">
        <v>16</v>
      </c>
      <c r="F201" s="23">
        <v>7.21</v>
      </c>
      <c r="G201" s="23">
        <v>181.33</v>
      </c>
      <c r="H201" s="23">
        <v>4.9800000000000004</v>
      </c>
      <c r="I201" s="23"/>
      <c r="J201" s="68">
        <f t="shared" si="9"/>
        <v>193.52</v>
      </c>
      <c r="K201" s="79">
        <v>158585</v>
      </c>
      <c r="L201" s="69">
        <v>239</v>
      </c>
      <c r="M201" s="54"/>
    </row>
    <row r="202" spans="1:14" ht="17.25" customHeight="1" x14ac:dyDescent="0.25">
      <c r="A202" s="40"/>
      <c r="B202" s="47"/>
      <c r="C202" s="20">
        <v>190</v>
      </c>
      <c r="D202" s="21" t="s">
        <v>220</v>
      </c>
      <c r="E202" s="29" t="s">
        <v>16</v>
      </c>
      <c r="F202" s="23">
        <v>44.02</v>
      </c>
      <c r="G202" s="23">
        <v>248.47</v>
      </c>
      <c r="H202" s="23">
        <v>2.91</v>
      </c>
      <c r="I202" s="23"/>
      <c r="J202" s="68">
        <f t="shared" si="9"/>
        <v>295.40000000000003</v>
      </c>
      <c r="K202" s="79">
        <v>220068</v>
      </c>
      <c r="L202" s="69">
        <v>270</v>
      </c>
      <c r="M202" s="54"/>
    </row>
    <row r="203" spans="1:14" ht="17.25" customHeight="1" x14ac:dyDescent="0.25">
      <c r="A203" s="2" t="s">
        <v>46</v>
      </c>
      <c r="B203" s="2"/>
      <c r="C203" s="2"/>
      <c r="D203" s="2"/>
      <c r="E203" s="33"/>
      <c r="F203" s="34">
        <f>SUM(F168:F202)</f>
        <v>231.10000000000005</v>
      </c>
      <c r="G203" s="34">
        <f>SUM(G168:G202)</f>
        <v>3585.9399999999996</v>
      </c>
      <c r="H203" s="34">
        <f>SUM(H168:H202)</f>
        <v>563.93999999999994</v>
      </c>
      <c r="I203" s="34"/>
      <c r="J203" s="35">
        <f>SUM(J168:J202)</f>
        <v>4380.9799999999996</v>
      </c>
      <c r="K203" s="36">
        <f>SUM(K168:K202)</f>
        <v>3173962</v>
      </c>
      <c r="L203" s="36">
        <f>SUM(L168:L202)</f>
        <v>3980</v>
      </c>
      <c r="M203" s="37"/>
      <c r="N203" s="7">
        <v>1110</v>
      </c>
    </row>
    <row r="204" spans="1:14" s="87" customFormat="1" ht="17.25" customHeight="1" x14ac:dyDescent="0.25">
      <c r="A204" s="27" t="s">
        <v>221</v>
      </c>
      <c r="B204" s="82" t="s">
        <v>222</v>
      </c>
      <c r="C204" s="28">
        <v>191</v>
      </c>
      <c r="D204" s="21" t="s">
        <v>223</v>
      </c>
      <c r="E204" s="29" t="s">
        <v>16</v>
      </c>
      <c r="F204" s="83">
        <v>10.18</v>
      </c>
      <c r="G204" s="83">
        <v>25.34</v>
      </c>
      <c r="H204" s="83">
        <v>14.77</v>
      </c>
      <c r="I204" s="84"/>
      <c r="J204" s="68">
        <f t="shared" ref="J204:J213" si="10">SUM(F204:H204)</f>
        <v>50.289999999999992</v>
      </c>
      <c r="K204" s="79">
        <v>14371</v>
      </c>
      <c r="L204" s="79">
        <v>350</v>
      </c>
      <c r="M204" s="85"/>
      <c r="N204" s="86">
        <v>429374</v>
      </c>
    </row>
    <row r="205" spans="1:14" s="87" customFormat="1" ht="17.25" customHeight="1" x14ac:dyDescent="0.25">
      <c r="A205" s="27"/>
      <c r="B205" s="88"/>
      <c r="C205" s="28">
        <v>192</v>
      </c>
      <c r="D205" s="21" t="s">
        <v>224</v>
      </c>
      <c r="E205" s="29" t="s">
        <v>16</v>
      </c>
      <c r="F205" s="83">
        <v>78.7</v>
      </c>
      <c r="G205" s="83">
        <v>453.45</v>
      </c>
      <c r="H205" s="83">
        <v>20.85</v>
      </c>
      <c r="I205" s="84"/>
      <c r="J205" s="68">
        <f t="shared" si="10"/>
        <v>553</v>
      </c>
      <c r="K205" s="79">
        <v>283384</v>
      </c>
      <c r="L205" s="79">
        <v>150</v>
      </c>
      <c r="M205" s="85"/>
      <c r="N205" s="89">
        <f>N204+N203</f>
        <v>430484</v>
      </c>
    </row>
    <row r="206" spans="1:14" s="87" customFormat="1" ht="17.25" customHeight="1" x14ac:dyDescent="0.25">
      <c r="A206" s="27"/>
      <c r="B206" s="88"/>
      <c r="C206" s="28">
        <v>193</v>
      </c>
      <c r="D206" s="21" t="s">
        <v>222</v>
      </c>
      <c r="E206" s="29" t="s">
        <v>16</v>
      </c>
      <c r="F206" s="83">
        <v>124.18</v>
      </c>
      <c r="G206" s="83">
        <v>137.79</v>
      </c>
      <c r="H206" s="83">
        <v>79.56</v>
      </c>
      <c r="I206" s="84"/>
      <c r="J206" s="68">
        <f t="shared" si="10"/>
        <v>341.53000000000003</v>
      </c>
      <c r="K206" s="79">
        <v>95983</v>
      </c>
      <c r="L206" s="79">
        <v>191</v>
      </c>
      <c r="M206" s="85"/>
    </row>
    <row r="207" spans="1:14" s="87" customFormat="1" ht="17.25" customHeight="1" x14ac:dyDescent="0.25">
      <c r="A207" s="27"/>
      <c r="B207" s="88"/>
      <c r="C207" s="28">
        <v>194</v>
      </c>
      <c r="D207" s="21" t="s">
        <v>225</v>
      </c>
      <c r="E207" s="29" t="s">
        <v>16</v>
      </c>
      <c r="F207" s="83">
        <v>9.19</v>
      </c>
      <c r="G207" s="83">
        <v>323.43</v>
      </c>
      <c r="H207" s="83">
        <v>24.21</v>
      </c>
      <c r="I207" s="84"/>
      <c r="J207" s="68">
        <f t="shared" si="10"/>
        <v>356.83</v>
      </c>
      <c r="K207" s="79">
        <v>253650</v>
      </c>
      <c r="L207" s="79">
        <v>104</v>
      </c>
      <c r="M207" s="85"/>
    </row>
    <row r="208" spans="1:14" s="87" customFormat="1" ht="17.25" customHeight="1" x14ac:dyDescent="0.25">
      <c r="A208" s="27"/>
      <c r="B208" s="88"/>
      <c r="C208" s="28">
        <v>195</v>
      </c>
      <c r="D208" s="21" t="s">
        <v>226</v>
      </c>
      <c r="E208" s="29" t="s">
        <v>16</v>
      </c>
      <c r="F208" s="83">
        <v>7.88</v>
      </c>
      <c r="G208" s="83">
        <v>24.42</v>
      </c>
      <c r="H208" s="83">
        <v>7.74</v>
      </c>
      <c r="I208" s="84"/>
      <c r="J208" s="68">
        <f t="shared" si="10"/>
        <v>40.040000000000006</v>
      </c>
      <c r="K208" s="79">
        <v>18251</v>
      </c>
      <c r="L208" s="79">
        <v>26</v>
      </c>
      <c r="M208" s="85"/>
    </row>
    <row r="209" spans="1:13" s="87" customFormat="1" ht="17.25" customHeight="1" x14ac:dyDescent="0.25">
      <c r="A209" s="27"/>
      <c r="B209" s="88"/>
      <c r="C209" s="28">
        <v>196</v>
      </c>
      <c r="D209" s="21" t="s">
        <v>227</v>
      </c>
      <c r="E209" s="29" t="s">
        <v>16</v>
      </c>
      <c r="F209" s="83">
        <v>5.92</v>
      </c>
      <c r="G209" s="83">
        <v>37.29</v>
      </c>
      <c r="H209" s="83">
        <v>7.86</v>
      </c>
      <c r="I209" s="84"/>
      <c r="J209" s="68">
        <f t="shared" si="10"/>
        <v>51.07</v>
      </c>
      <c r="K209" s="79">
        <v>17189</v>
      </c>
      <c r="L209" s="79">
        <v>37</v>
      </c>
      <c r="M209" s="85"/>
    </row>
    <row r="210" spans="1:13" s="87" customFormat="1" ht="17.25" customHeight="1" x14ac:dyDescent="0.25">
      <c r="A210" s="27"/>
      <c r="B210" s="88"/>
      <c r="C210" s="28">
        <v>197</v>
      </c>
      <c r="D210" s="21" t="s">
        <v>14</v>
      </c>
      <c r="E210" s="29" t="s">
        <v>16</v>
      </c>
      <c r="F210" s="83">
        <v>7.97</v>
      </c>
      <c r="G210" s="83">
        <v>40.53</v>
      </c>
      <c r="H210" s="83">
        <v>8.8800000000000008</v>
      </c>
      <c r="I210" s="84"/>
      <c r="J210" s="68">
        <f t="shared" si="10"/>
        <v>57.38</v>
      </c>
      <c r="K210" s="79">
        <v>35558</v>
      </c>
      <c r="L210" s="79">
        <v>103</v>
      </c>
      <c r="M210" s="85"/>
    </row>
    <row r="211" spans="1:13" s="87" customFormat="1" ht="17.25" customHeight="1" x14ac:dyDescent="0.25">
      <c r="A211" s="27"/>
      <c r="B211" s="88"/>
      <c r="C211" s="28">
        <v>198</v>
      </c>
      <c r="D211" s="21" t="s">
        <v>228</v>
      </c>
      <c r="E211" s="29" t="s">
        <v>16</v>
      </c>
      <c r="F211" s="83">
        <v>11.27</v>
      </c>
      <c r="G211" s="83">
        <v>100.63</v>
      </c>
      <c r="H211" s="83">
        <v>15.95</v>
      </c>
      <c r="I211" s="84"/>
      <c r="J211" s="68">
        <f t="shared" si="10"/>
        <v>127.85</v>
      </c>
      <c r="K211" s="79">
        <v>69349</v>
      </c>
      <c r="L211" s="79">
        <v>98</v>
      </c>
      <c r="M211" s="85"/>
    </row>
    <row r="212" spans="1:13" s="87" customFormat="1" ht="17.25" customHeight="1" x14ac:dyDescent="0.25">
      <c r="A212" s="27"/>
      <c r="B212" s="88"/>
      <c r="C212" s="28">
        <v>199</v>
      </c>
      <c r="D212" s="21" t="s">
        <v>229</v>
      </c>
      <c r="E212" s="29" t="s">
        <v>16</v>
      </c>
      <c r="F212" s="83">
        <v>23.07</v>
      </c>
      <c r="G212" s="83">
        <v>305.35000000000002</v>
      </c>
      <c r="H212" s="83">
        <v>23.9</v>
      </c>
      <c r="I212" s="84"/>
      <c r="J212" s="68">
        <f t="shared" si="10"/>
        <v>352.32</v>
      </c>
      <c r="K212" s="79">
        <v>138140</v>
      </c>
      <c r="L212" s="79">
        <v>409</v>
      </c>
      <c r="M212" s="85"/>
    </row>
    <row r="213" spans="1:13" s="87" customFormat="1" ht="17.25" customHeight="1" x14ac:dyDescent="0.25">
      <c r="A213" s="27"/>
      <c r="B213" s="88"/>
      <c r="C213" s="28">
        <v>200</v>
      </c>
      <c r="D213" s="21" t="s">
        <v>230</v>
      </c>
      <c r="E213" s="29" t="s">
        <v>16</v>
      </c>
      <c r="F213" s="83">
        <v>25.86</v>
      </c>
      <c r="G213" s="83">
        <v>791.56</v>
      </c>
      <c r="H213" s="83">
        <v>50.52</v>
      </c>
      <c r="I213" s="84"/>
      <c r="J213" s="68">
        <f t="shared" si="10"/>
        <v>867.93999999999994</v>
      </c>
      <c r="K213" s="79">
        <v>612970</v>
      </c>
      <c r="L213" s="79">
        <v>183</v>
      </c>
      <c r="M213" s="85"/>
    </row>
    <row r="214" spans="1:13" ht="17.25" customHeight="1" x14ac:dyDescent="0.25">
      <c r="A214" s="2" t="s">
        <v>46</v>
      </c>
      <c r="B214" s="2"/>
      <c r="C214" s="2"/>
      <c r="D214" s="2"/>
      <c r="E214" s="33"/>
      <c r="F214" s="34">
        <f>SUM(F204:F213)</f>
        <v>304.22000000000003</v>
      </c>
      <c r="G214" s="34">
        <f>SUM(G204:G213)</f>
        <v>2239.79</v>
      </c>
      <c r="H214" s="34">
        <f>SUM(H204:H213)</f>
        <v>254.24000000000004</v>
      </c>
      <c r="I214" s="34"/>
      <c r="J214" s="35">
        <f>SUM(J204:J213)</f>
        <v>2798.2499999999995</v>
      </c>
      <c r="K214" s="36">
        <f>SUM(K204:K213)</f>
        <v>1538845</v>
      </c>
      <c r="L214" s="36">
        <f>SUM(L204:L213)</f>
        <v>1651</v>
      </c>
      <c r="M214" s="37"/>
    </row>
    <row r="215" spans="1:13" ht="17.25" customHeight="1" x14ac:dyDescent="0.25">
      <c r="A215" s="40" t="s">
        <v>231</v>
      </c>
      <c r="B215" s="41" t="s">
        <v>232</v>
      </c>
      <c r="C215" s="20">
        <v>201</v>
      </c>
      <c r="D215" s="62" t="s">
        <v>233</v>
      </c>
      <c r="E215" s="29" t="s">
        <v>16</v>
      </c>
      <c r="F215" s="31">
        <v>10.79</v>
      </c>
      <c r="G215" s="31">
        <v>445.95</v>
      </c>
      <c r="H215" s="31">
        <v>51.27</v>
      </c>
      <c r="I215" s="77"/>
      <c r="J215" s="31">
        <f t="shared" ref="J215:J234" si="11">SUM(F215:H215)</f>
        <v>508.01</v>
      </c>
      <c r="K215" s="30">
        <v>278006</v>
      </c>
      <c r="L215" s="25">
        <v>173</v>
      </c>
      <c r="M215" s="54"/>
    </row>
    <row r="216" spans="1:13" ht="17.25" customHeight="1" x14ac:dyDescent="0.25">
      <c r="A216" s="40"/>
      <c r="B216" s="47"/>
      <c r="C216" s="20">
        <v>202</v>
      </c>
      <c r="D216" s="62" t="s">
        <v>234</v>
      </c>
      <c r="E216" s="29" t="s">
        <v>16</v>
      </c>
      <c r="F216" s="31">
        <v>52.01</v>
      </c>
      <c r="G216" s="31">
        <v>216</v>
      </c>
      <c r="H216" s="31">
        <v>15.2</v>
      </c>
      <c r="I216" s="77"/>
      <c r="J216" s="31">
        <f t="shared" si="11"/>
        <v>283.20999999999998</v>
      </c>
      <c r="K216" s="30">
        <v>134869</v>
      </c>
      <c r="L216" s="90">
        <v>114</v>
      </c>
      <c r="M216" s="91"/>
    </row>
    <row r="217" spans="1:13" ht="17.25" customHeight="1" x14ac:dyDescent="0.25">
      <c r="A217" s="40"/>
      <c r="B217" s="47"/>
      <c r="C217" s="20">
        <v>203</v>
      </c>
      <c r="D217" s="62" t="s">
        <v>235</v>
      </c>
      <c r="E217" s="29" t="s">
        <v>16</v>
      </c>
      <c r="F217" s="31">
        <v>10.119999999999999</v>
      </c>
      <c r="G217" s="31">
        <v>32.950000000000003</v>
      </c>
      <c r="H217" s="31">
        <v>11.69</v>
      </c>
      <c r="I217" s="77"/>
      <c r="J217" s="31">
        <f t="shared" si="11"/>
        <v>54.76</v>
      </c>
      <c r="K217" s="30">
        <v>21612</v>
      </c>
      <c r="L217" s="90">
        <v>34</v>
      </c>
      <c r="M217" s="91"/>
    </row>
    <row r="218" spans="1:13" ht="17.25" customHeight="1" x14ac:dyDescent="0.25">
      <c r="A218" s="40"/>
      <c r="B218" s="47"/>
      <c r="C218" s="20">
        <v>204</v>
      </c>
      <c r="D218" s="62" t="s">
        <v>236</v>
      </c>
      <c r="E218" s="29" t="s">
        <v>16</v>
      </c>
      <c r="F218" s="31">
        <v>0</v>
      </c>
      <c r="G218" s="31">
        <v>48.17</v>
      </c>
      <c r="H218" s="31">
        <v>21.25</v>
      </c>
      <c r="I218" s="77"/>
      <c r="J218" s="31">
        <f t="shared" si="11"/>
        <v>69.42</v>
      </c>
      <c r="K218" s="30">
        <v>30204</v>
      </c>
      <c r="L218" s="90">
        <v>174</v>
      </c>
      <c r="M218" s="91"/>
    </row>
    <row r="219" spans="1:13" ht="17.25" customHeight="1" x14ac:dyDescent="0.25">
      <c r="A219" s="40"/>
      <c r="B219" s="47"/>
      <c r="C219" s="20">
        <v>205</v>
      </c>
      <c r="D219" s="62" t="s">
        <v>237</v>
      </c>
      <c r="E219" s="29" t="s">
        <v>16</v>
      </c>
      <c r="F219" s="31">
        <v>10.38</v>
      </c>
      <c r="G219" s="31">
        <v>164.19</v>
      </c>
      <c r="H219" s="31">
        <v>51.13</v>
      </c>
      <c r="I219" s="77"/>
      <c r="J219" s="31">
        <f t="shared" si="11"/>
        <v>225.7</v>
      </c>
      <c r="K219" s="78">
        <v>122650</v>
      </c>
      <c r="L219" s="25">
        <v>92</v>
      </c>
      <c r="M219" s="91"/>
    </row>
    <row r="220" spans="1:13" ht="17.25" customHeight="1" x14ac:dyDescent="0.25">
      <c r="A220" s="40"/>
      <c r="B220" s="47"/>
      <c r="C220" s="20">
        <v>206</v>
      </c>
      <c r="D220" s="62" t="s">
        <v>238</v>
      </c>
      <c r="E220" s="29" t="s">
        <v>16</v>
      </c>
      <c r="F220" s="31">
        <v>53.25</v>
      </c>
      <c r="G220" s="31">
        <v>501.22</v>
      </c>
      <c r="H220" s="31">
        <v>60.24</v>
      </c>
      <c r="I220" s="77"/>
      <c r="J220" s="31">
        <f t="shared" si="11"/>
        <v>614.71</v>
      </c>
      <c r="K220" s="78">
        <v>412809</v>
      </c>
      <c r="L220" s="25">
        <v>67</v>
      </c>
      <c r="M220" s="91"/>
    </row>
    <row r="221" spans="1:13" ht="17.25" customHeight="1" x14ac:dyDescent="0.25">
      <c r="A221" s="40"/>
      <c r="B221" s="47"/>
      <c r="C221" s="20">
        <v>207</v>
      </c>
      <c r="D221" s="62" t="s">
        <v>239</v>
      </c>
      <c r="E221" s="29" t="s">
        <v>16</v>
      </c>
      <c r="F221" s="31">
        <v>0</v>
      </c>
      <c r="G221" s="31">
        <v>39.85</v>
      </c>
      <c r="H221" s="31">
        <v>22.41</v>
      </c>
      <c r="I221" s="77"/>
      <c r="J221" s="31">
        <f t="shared" si="11"/>
        <v>62.260000000000005</v>
      </c>
      <c r="K221" s="78">
        <v>24513</v>
      </c>
      <c r="L221" s="25">
        <v>42</v>
      </c>
      <c r="M221" s="91"/>
    </row>
    <row r="222" spans="1:13" ht="17.25" customHeight="1" x14ac:dyDescent="0.25">
      <c r="A222" s="40"/>
      <c r="B222" s="47"/>
      <c r="C222" s="20">
        <v>208</v>
      </c>
      <c r="D222" s="62" t="s">
        <v>240</v>
      </c>
      <c r="E222" s="29" t="s">
        <v>16</v>
      </c>
      <c r="F222" s="31">
        <v>0</v>
      </c>
      <c r="G222" s="31">
        <v>202.33</v>
      </c>
      <c r="H222" s="31">
        <v>29.49</v>
      </c>
      <c r="I222" s="77"/>
      <c r="J222" s="31">
        <f t="shared" si="11"/>
        <v>231.82000000000002</v>
      </c>
      <c r="K222" s="78">
        <v>130766</v>
      </c>
      <c r="L222" s="25">
        <v>129</v>
      </c>
      <c r="M222" s="91"/>
    </row>
    <row r="223" spans="1:13" ht="17.25" customHeight="1" x14ac:dyDescent="0.25">
      <c r="A223" s="40"/>
      <c r="B223" s="47"/>
      <c r="C223" s="20">
        <v>209</v>
      </c>
      <c r="D223" s="62" t="s">
        <v>241</v>
      </c>
      <c r="E223" s="29" t="s">
        <v>16</v>
      </c>
      <c r="F223" s="31">
        <v>16.989999999999998</v>
      </c>
      <c r="G223" s="31">
        <v>374.12</v>
      </c>
      <c r="H223" s="31">
        <v>82.97</v>
      </c>
      <c r="I223" s="77"/>
      <c r="J223" s="31">
        <f t="shared" si="11"/>
        <v>474.08000000000004</v>
      </c>
      <c r="K223" s="78">
        <v>254093</v>
      </c>
      <c r="L223" s="25">
        <v>172</v>
      </c>
      <c r="M223" s="91"/>
    </row>
    <row r="224" spans="1:13" ht="17.25" customHeight="1" x14ac:dyDescent="0.25">
      <c r="A224" s="40"/>
      <c r="B224" s="47"/>
      <c r="C224" s="20">
        <v>210</v>
      </c>
      <c r="D224" s="62" t="s">
        <v>242</v>
      </c>
      <c r="E224" s="29" t="s">
        <v>16</v>
      </c>
      <c r="F224" s="31">
        <v>10</v>
      </c>
      <c r="G224" s="31">
        <v>25.89</v>
      </c>
      <c r="H224" s="31">
        <v>21.9</v>
      </c>
      <c r="I224" s="77"/>
      <c r="J224" s="31">
        <f t="shared" si="11"/>
        <v>57.79</v>
      </c>
      <c r="K224" s="78">
        <v>15628</v>
      </c>
      <c r="L224" s="25">
        <v>30</v>
      </c>
      <c r="M224" s="91"/>
    </row>
    <row r="225" spans="1:14" ht="17.25" customHeight="1" x14ac:dyDescent="0.25">
      <c r="A225" s="40"/>
      <c r="B225" s="47"/>
      <c r="C225" s="20">
        <v>211</v>
      </c>
      <c r="D225" s="21" t="s">
        <v>243</v>
      </c>
      <c r="E225" s="29" t="s">
        <v>16</v>
      </c>
      <c r="F225" s="23">
        <v>0</v>
      </c>
      <c r="G225" s="23">
        <v>166.72</v>
      </c>
      <c r="H225" s="23">
        <v>19.52</v>
      </c>
      <c r="I225" s="43"/>
      <c r="J225" s="31">
        <f t="shared" si="11"/>
        <v>186.24</v>
      </c>
      <c r="K225" s="69">
        <v>135525</v>
      </c>
      <c r="L225" s="25">
        <v>81</v>
      </c>
      <c r="M225" s="91"/>
    </row>
    <row r="226" spans="1:14" ht="17.25" customHeight="1" x14ac:dyDescent="0.25">
      <c r="A226" s="40"/>
      <c r="B226" s="47"/>
      <c r="C226" s="20">
        <v>212</v>
      </c>
      <c r="D226" s="21" t="s">
        <v>244</v>
      </c>
      <c r="E226" s="29" t="s">
        <v>16</v>
      </c>
      <c r="F226" s="23">
        <v>41.57</v>
      </c>
      <c r="G226" s="23">
        <v>399.94</v>
      </c>
      <c r="H226" s="23">
        <v>97.53</v>
      </c>
      <c r="I226" s="43"/>
      <c r="J226" s="31">
        <f t="shared" si="11"/>
        <v>539.04</v>
      </c>
      <c r="K226" s="69">
        <v>290599</v>
      </c>
      <c r="L226" s="25">
        <v>294</v>
      </c>
      <c r="M226" s="91"/>
    </row>
    <row r="227" spans="1:14" ht="17.25" customHeight="1" x14ac:dyDescent="0.25">
      <c r="A227" s="40"/>
      <c r="B227" s="47"/>
      <c r="C227" s="20">
        <v>213</v>
      </c>
      <c r="D227" s="21" t="s">
        <v>245</v>
      </c>
      <c r="E227" s="29" t="s">
        <v>16</v>
      </c>
      <c r="F227" s="23">
        <v>53.33</v>
      </c>
      <c r="G227" s="23">
        <v>84.51</v>
      </c>
      <c r="H227" s="23">
        <v>25.19</v>
      </c>
      <c r="I227" s="43"/>
      <c r="J227" s="31">
        <f t="shared" si="11"/>
        <v>163.03</v>
      </c>
      <c r="K227" s="69">
        <v>52972</v>
      </c>
      <c r="L227" s="25">
        <v>112</v>
      </c>
      <c r="M227" s="91"/>
    </row>
    <row r="228" spans="1:14" ht="17.25" customHeight="1" x14ac:dyDescent="0.25">
      <c r="A228" s="40"/>
      <c r="B228" s="47"/>
      <c r="C228" s="20">
        <v>214</v>
      </c>
      <c r="D228" s="21" t="s">
        <v>246</v>
      </c>
      <c r="E228" s="29" t="s">
        <v>16</v>
      </c>
      <c r="F228" s="23">
        <v>22.57</v>
      </c>
      <c r="G228" s="23">
        <v>240.11</v>
      </c>
      <c r="H228" s="23">
        <v>56.54</v>
      </c>
      <c r="I228" s="43"/>
      <c r="J228" s="31">
        <f t="shared" si="11"/>
        <v>319.22000000000003</v>
      </c>
      <c r="K228" s="69">
        <v>190881</v>
      </c>
      <c r="L228" s="25">
        <v>98</v>
      </c>
      <c r="M228" s="91"/>
    </row>
    <row r="229" spans="1:14" ht="17.25" customHeight="1" x14ac:dyDescent="0.25">
      <c r="A229" s="40"/>
      <c r="B229" s="47"/>
      <c r="C229" s="20">
        <v>215</v>
      </c>
      <c r="D229" s="21" t="s">
        <v>247</v>
      </c>
      <c r="E229" s="29" t="s">
        <v>16</v>
      </c>
      <c r="F229" s="23">
        <v>154.19999999999999</v>
      </c>
      <c r="G229" s="23">
        <v>398.82</v>
      </c>
      <c r="H229" s="23">
        <v>50.11</v>
      </c>
      <c r="I229" s="43"/>
      <c r="J229" s="31">
        <f t="shared" si="11"/>
        <v>603.13</v>
      </c>
      <c r="K229" s="69">
        <v>451240</v>
      </c>
      <c r="L229" s="25">
        <v>138</v>
      </c>
      <c r="M229" s="91"/>
    </row>
    <row r="230" spans="1:14" ht="17.25" customHeight="1" x14ac:dyDescent="0.25">
      <c r="A230" s="40"/>
      <c r="B230" s="47"/>
      <c r="C230" s="20">
        <v>216</v>
      </c>
      <c r="D230" s="21" t="s">
        <v>248</v>
      </c>
      <c r="E230" s="29" t="s">
        <v>16</v>
      </c>
      <c r="F230" s="23">
        <v>51.5</v>
      </c>
      <c r="G230" s="23">
        <v>300.16000000000003</v>
      </c>
      <c r="H230" s="23">
        <v>25.34</v>
      </c>
      <c r="I230" s="43"/>
      <c r="J230" s="31">
        <f t="shared" si="11"/>
        <v>377</v>
      </c>
      <c r="K230" s="69">
        <v>345577</v>
      </c>
      <c r="L230" s="25">
        <v>116</v>
      </c>
      <c r="M230" s="91"/>
    </row>
    <row r="231" spans="1:14" ht="17.25" customHeight="1" x14ac:dyDescent="0.25">
      <c r="A231" s="40"/>
      <c r="B231" s="47"/>
      <c r="C231" s="20">
        <v>217</v>
      </c>
      <c r="D231" s="21" t="s">
        <v>249</v>
      </c>
      <c r="E231" s="29" t="s">
        <v>16</v>
      </c>
      <c r="F231" s="23">
        <v>9.1999999999999993</v>
      </c>
      <c r="G231" s="23">
        <v>292.43</v>
      </c>
      <c r="H231" s="23">
        <v>90.11</v>
      </c>
      <c r="I231" s="43"/>
      <c r="J231" s="31">
        <f t="shared" si="11"/>
        <v>391.74</v>
      </c>
      <c r="K231" s="69">
        <v>241737</v>
      </c>
      <c r="L231" s="25">
        <v>58</v>
      </c>
      <c r="M231" s="91"/>
    </row>
    <row r="232" spans="1:14" ht="17.25" customHeight="1" x14ac:dyDescent="0.25">
      <c r="A232" s="40"/>
      <c r="B232" s="47"/>
      <c r="C232" s="20">
        <v>218</v>
      </c>
      <c r="D232" s="21" t="s">
        <v>250</v>
      </c>
      <c r="E232" s="29" t="s">
        <v>16</v>
      </c>
      <c r="F232" s="23">
        <v>100.05</v>
      </c>
      <c r="G232" s="23">
        <v>251.1</v>
      </c>
      <c r="H232" s="23">
        <v>29.91</v>
      </c>
      <c r="I232" s="43"/>
      <c r="J232" s="31">
        <f t="shared" si="11"/>
        <v>381.06</v>
      </c>
      <c r="K232" s="69">
        <v>243270</v>
      </c>
      <c r="L232" s="25">
        <v>227</v>
      </c>
      <c r="M232" s="91"/>
    </row>
    <row r="233" spans="1:14" ht="17.25" customHeight="1" x14ac:dyDescent="0.25">
      <c r="A233" s="40"/>
      <c r="B233" s="47"/>
      <c r="C233" s="20">
        <v>219</v>
      </c>
      <c r="D233" s="21" t="s">
        <v>251</v>
      </c>
      <c r="E233" s="29" t="s">
        <v>16</v>
      </c>
      <c r="F233" s="23">
        <v>29.81</v>
      </c>
      <c r="G233" s="23">
        <v>66.59</v>
      </c>
      <c r="H233" s="23">
        <v>11.93</v>
      </c>
      <c r="I233" s="43"/>
      <c r="J233" s="31">
        <f t="shared" si="11"/>
        <v>108.33000000000001</v>
      </c>
      <c r="K233" s="69">
        <v>46512</v>
      </c>
      <c r="L233" s="25">
        <v>101</v>
      </c>
      <c r="M233" s="91"/>
    </row>
    <row r="234" spans="1:14" ht="17.25" customHeight="1" x14ac:dyDescent="0.25">
      <c r="A234" s="40"/>
      <c r="B234" s="47"/>
      <c r="C234" s="20">
        <v>220</v>
      </c>
      <c r="D234" s="21" t="s">
        <v>252</v>
      </c>
      <c r="E234" s="29" t="s">
        <v>16</v>
      </c>
      <c r="F234" s="23">
        <v>30.52</v>
      </c>
      <c r="G234" s="23">
        <v>246.32</v>
      </c>
      <c r="H234" s="23">
        <v>24.96</v>
      </c>
      <c r="I234" s="43"/>
      <c r="J234" s="31">
        <f t="shared" si="11"/>
        <v>301.79999999999995</v>
      </c>
      <c r="K234" s="69">
        <v>234853</v>
      </c>
      <c r="L234" s="25">
        <v>136</v>
      </c>
      <c r="M234" s="91"/>
    </row>
    <row r="235" spans="1:14" ht="17.25" customHeight="1" x14ac:dyDescent="0.25">
      <c r="A235" s="2" t="s">
        <v>46</v>
      </c>
      <c r="B235" s="2"/>
      <c r="C235" s="2"/>
      <c r="D235" s="2"/>
      <c r="E235" s="33"/>
      <c r="F235" s="34">
        <f>SUM(F215:F234)</f>
        <v>656.28999999999985</v>
      </c>
      <c r="G235" s="34">
        <f>SUM(G215:G234)</f>
        <v>4497.37</v>
      </c>
      <c r="H235" s="34">
        <f>SUM(H215:H234)</f>
        <v>798.68999999999994</v>
      </c>
      <c r="I235" s="34"/>
      <c r="J235" s="35">
        <f>SUM(J215:J234)</f>
        <v>5952.35</v>
      </c>
      <c r="K235" s="36">
        <f>SUM(K215:K234)</f>
        <v>3658316</v>
      </c>
      <c r="L235" s="36">
        <f>SUM(L215:L234)</f>
        <v>2388</v>
      </c>
      <c r="M235" s="37"/>
    </row>
    <row r="236" spans="1:14" ht="17.25" customHeight="1" x14ac:dyDescent="0.25">
      <c r="A236" s="1" t="s">
        <v>253</v>
      </c>
      <c r="B236" s="1"/>
      <c r="C236" s="1"/>
      <c r="D236" s="1"/>
      <c r="E236" s="92"/>
      <c r="F236" s="93">
        <f>F235+F214+F203+F167+F154+F113+F107+F80+F64+F36</f>
        <v>3377.79</v>
      </c>
      <c r="G236" s="93">
        <f>G235+G214+G203+G167+G154+G113+G107+G80+G64+G36</f>
        <v>38966.850000000006</v>
      </c>
      <c r="H236" s="93">
        <f>H235+H214+H203+H167+H154+H113+H107+H80+H64+H36</f>
        <v>4308.5599999999995</v>
      </c>
      <c r="I236" s="93"/>
      <c r="J236" s="93">
        <f>J235+J214+J203+J167+J154+J113+J107+J80+J64+J36</f>
        <v>46650.970000000008</v>
      </c>
      <c r="K236" s="94">
        <f>K235+K214+K203+K167+K154+K113+K107+K80+K64+K36</f>
        <v>28670739</v>
      </c>
      <c r="L236" s="94">
        <f>L235+L214+L203+L167+L154+L113+L107+L80+L64+L36</f>
        <v>38259</v>
      </c>
      <c r="M236" s="95"/>
      <c r="N236" s="96">
        <f>K236/1000</f>
        <v>28670.739000000001</v>
      </c>
    </row>
    <row r="237" spans="1:14" ht="15.75" customHeight="1" x14ac:dyDescent="0.25">
      <c r="B237" s="97" t="s">
        <v>254</v>
      </c>
      <c r="C237" s="98" t="s">
        <v>255</v>
      </c>
      <c r="D237" s="98"/>
    </row>
    <row r="238" spans="1:14" ht="15.75" customHeight="1" x14ac:dyDescent="0.25">
      <c r="K238" s="99" t="s">
        <v>261</v>
      </c>
    </row>
    <row r="239" spans="1:14" ht="15.75" customHeight="1" x14ac:dyDescent="0.25">
      <c r="K239" s="99" t="s">
        <v>256</v>
      </c>
    </row>
    <row r="240" spans="1:14" ht="15.75" customHeight="1" x14ac:dyDescent="0.25">
      <c r="D240" s="96">
        <f>K236/1000</f>
        <v>28670.739000000001</v>
      </c>
      <c r="K240" s="99" t="s">
        <v>257</v>
      </c>
    </row>
    <row r="241" spans="6:14" ht="15.75" customHeight="1" x14ac:dyDescent="0.25">
      <c r="K241" s="99"/>
      <c r="N241" s="38">
        <v>57000</v>
      </c>
    </row>
    <row r="242" spans="6:14" ht="15.75" customHeight="1" x14ac:dyDescent="0.25">
      <c r="F242" s="96"/>
      <c r="K242" s="99"/>
      <c r="N242" s="39">
        <f>N241-J236</f>
        <v>10349.029999999992</v>
      </c>
    </row>
    <row r="243" spans="6:14" ht="15.75" customHeight="1" x14ac:dyDescent="0.25">
      <c r="K243" s="100" t="s">
        <v>258</v>
      </c>
      <c r="N243" s="7">
        <v>9</v>
      </c>
    </row>
    <row r="244" spans="6:14" ht="15.75" customHeight="1" x14ac:dyDescent="0.25">
      <c r="K244" s="99" t="s">
        <v>259</v>
      </c>
      <c r="N244" s="39">
        <f>N242/N243</f>
        <v>1149.8922222222213</v>
      </c>
    </row>
    <row r="245" spans="6:14" ht="15.75" customHeight="1" x14ac:dyDescent="0.25">
      <c r="K245" s="99" t="s">
        <v>260</v>
      </c>
    </row>
    <row r="246" spans="6:14" ht="15.75" customHeight="1" x14ac:dyDescent="0.25">
      <c r="K246" s="99" t="s">
        <v>262</v>
      </c>
    </row>
    <row r="247" spans="6:14" ht="15.75" customHeight="1" x14ac:dyDescent="0.25">
      <c r="K247" s="99" t="s">
        <v>263</v>
      </c>
    </row>
  </sheetData>
  <mergeCells count="14">
    <mergeCell ref="A203:D203"/>
    <mergeCell ref="A214:D214"/>
    <mergeCell ref="A235:D235"/>
    <mergeCell ref="A236:D236"/>
    <mergeCell ref="A80:D80"/>
    <mergeCell ref="A107:D107"/>
    <mergeCell ref="A113:D113"/>
    <mergeCell ref="A154:D154"/>
    <mergeCell ref="A167:D167"/>
    <mergeCell ref="A1:M2"/>
    <mergeCell ref="C4:D4"/>
    <mergeCell ref="C5:D5"/>
    <mergeCell ref="A36:D36"/>
    <mergeCell ref="A64:D64"/>
  </mergeCells>
  <conditionalFormatting sqref="D7:D35">
    <cfRule type="duplicateValues" dxfId="4" priority="6"/>
  </conditionalFormatting>
  <conditionalFormatting sqref="D66:D79">
    <cfRule type="duplicateValues" dxfId="3" priority="5"/>
  </conditionalFormatting>
  <conditionalFormatting sqref="D82:D106">
    <cfRule type="duplicateValues" dxfId="2" priority="4"/>
  </conditionalFormatting>
  <conditionalFormatting sqref="D115:D153">
    <cfRule type="duplicateValues" dxfId="1" priority="3"/>
  </conditionalFormatting>
  <conditionalFormatting sqref="D156:D166">
    <cfRule type="duplicateValues" dxfId="0" priority="2"/>
  </conditionalFormatting>
  <printOptions horizontalCentered="1"/>
  <pageMargins left="0.31527777777777799" right="0.31527777777777799" top="0.35416666666666702" bottom="0.23611111111111099" header="0.511811023622047" footer="0.511811023622047"/>
  <pageSetup paperSize="9" scale="71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ARABIKA (3)</vt:lpstr>
      <vt:lpstr>'ARABIKA (3)'!Print_Area</vt:lpstr>
      <vt:lpstr>'ARABIKA (3)'!Print_Titles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BIDANG PERKEBUNAN</dc:creator>
  <dc:description/>
  <cp:lastModifiedBy>Mahadika Nafiz Luqman</cp:lastModifiedBy>
  <cp:revision>0</cp:revision>
  <dcterms:created xsi:type="dcterms:W3CDTF">2026-03-31T04:23:39Z</dcterms:created>
  <dcterms:modified xsi:type="dcterms:W3CDTF">2026-04-24T08:11:12Z</dcterms:modified>
  <dc:language>en-US</dc:language>
</cp:coreProperties>
</file>